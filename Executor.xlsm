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eter\Documents\R files\"/>
    </mc:Choice>
  </mc:AlternateContent>
  <xr:revisionPtr revIDLastSave="0" documentId="13_ncr:1_{4AD7BAAA-4728-41BA-B0A4-232E84B85F3E}" xr6:coauthVersionLast="47" xr6:coauthVersionMax="47" xr10:uidLastSave="{00000000-0000-0000-0000-000000000000}"/>
  <bookViews>
    <workbookView xWindow="-110" yWindow="-110" windowWidth="38620" windowHeight="21100" firstSheet="1" activeTab="1" xr2:uid="{8D8E21DC-6073-420C-9791-9F52603735EB}"/>
  </bookViews>
  <sheets>
    <sheet name="Hidden" sheetId="4" state="hidden" r:id="rId1"/>
    <sheet name="Executor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" i="1" l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6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6" i="1"/>
  <c r="M8" i="4"/>
  <c r="O11" i="1" s="1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5" i="4"/>
  <c r="O8" i="1" s="1"/>
  <c r="M6" i="4"/>
  <c r="O9" i="1" s="1"/>
  <c r="M7" i="4"/>
  <c r="O10" i="1" s="1"/>
  <c r="M4" i="4"/>
  <c r="O7" i="1" s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3" i="4"/>
  <c r="H3" i="4"/>
  <c r="G3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" i="4"/>
  <c r="C2" i="1"/>
</calcChain>
</file>

<file path=xl/sharedStrings.xml><?xml version="1.0" encoding="utf-8"?>
<sst xmlns="http://schemas.openxmlformats.org/spreadsheetml/2006/main" count="42" uniqueCount="34">
  <si>
    <t>Volatility Calculator (Automatic)</t>
  </si>
  <si>
    <t>Portfolio</t>
  </si>
  <si>
    <t>Stocks (Ticker)</t>
  </si>
  <si>
    <t>Exchange</t>
  </si>
  <si>
    <t>$ Amount</t>
  </si>
  <si>
    <t>AMZN</t>
  </si>
  <si>
    <t>TSLA</t>
  </si>
  <si>
    <t>CBA</t>
  </si>
  <si>
    <t>US</t>
  </si>
  <si>
    <t>London</t>
  </si>
  <si>
    <t>ASX</t>
  </si>
  <si>
    <t>.AX</t>
  </si>
  <si>
    <t>.L</t>
  </si>
  <si>
    <t>#</t>
  </si>
  <si>
    <t>Years:</t>
  </si>
  <si>
    <t>Date</t>
  </si>
  <si>
    <t>Remove Covid?</t>
  </si>
  <si>
    <t>Rm Covid</t>
  </si>
  <si>
    <t>Yes</t>
  </si>
  <si>
    <t>No</t>
  </si>
  <si>
    <t>Stock Tickers</t>
  </si>
  <si>
    <t>Years</t>
  </si>
  <si>
    <t>Covid</t>
  </si>
  <si>
    <t>$</t>
  </si>
  <si>
    <t>Raw Output</t>
  </si>
  <si>
    <t>Por_SD_Output</t>
  </si>
  <si>
    <t>AMZN.Adjusted</t>
  </si>
  <si>
    <t>TSLA.Adjusted</t>
  </si>
  <si>
    <t>CBA.AX.Adjusted</t>
  </si>
  <si>
    <t>NVDA</t>
  </si>
  <si>
    <t>NVDA.Adjusted</t>
  </si>
  <si>
    <t>Controls</t>
  </si>
  <si>
    <t>Output</t>
  </si>
  <si>
    <t>ASX.AX.Adjusted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</si>
</sst>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</cellStyleXfs>
  <cellXfs count="8">
    <xf numFmtId="0" fontId="0" fillId="0" borderId="0" xfId="0"/>
    <xf numFmtId="0" fontId="3" fillId="0" borderId="0" xfId="0" applyFont="1"/>
    <xf numFmtId="0" fontId="3" fillId="0" borderId="3" xfId="0" applyFont="1" applyBorder="1"/>
    <xf numFmtId="0" fontId="0" fillId="0" borderId="3" xfId="0" applyBorder="1"/>
    <xf numFmtId="0" fontId="0" fillId="0" borderId="0" xfId="0" applyFont="1" applyFill="1" applyBorder="1"/>
    <xf numFmtId="0" fontId="3" fillId="0" borderId="4" xfId="0" applyFont="1" applyBorder="1"/>
    <xf numFmtId="0" fontId="2" fillId="2" borderId="5" xfId="1" applyBorder="1"/>
    <xf numFmtId="22" fontId="0" fillId="3" borderId="2" xfId="2" applyNumberFormat="1" applyFont="1"/>
  </cellXfs>
  <cellStyles count="3">
    <cellStyle name="Input" xfId="1" builtinId="20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38100</xdr:rowOff>
        </xdr:from>
        <xdr:to>
          <xdr:col>13</xdr:col>
          <xdr:colOff>6350</xdr:colOff>
          <xdr:row>8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Step 1: Create Input sheet for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12700</xdr:rowOff>
        </xdr:from>
        <xdr:to>
          <xdr:col>13</xdr:col>
          <xdr:colOff>6350</xdr:colOff>
          <xdr:row>16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AB01EFE7-C932-9BD7-ED82-B7FBD49A16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Step 3: Import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19050</xdr:rowOff>
        </xdr:from>
        <xdr:to>
          <xdr:col>13</xdr:col>
          <xdr:colOff>6350</xdr:colOff>
          <xdr:row>12</xdr:row>
          <xdr:rowOff>120650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AB6F1E51-E493-D2FC-2ECB-1D1442457A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Step 2: Run model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034AA-3858-42FA-8B79-46300E7F27D2}">
  <sheetPr codeName="Sheet1"/>
  <dimension ref="B2:M103"/>
  <sheetViews>
    <sheetView workbookViewId="0">
      <selection activeCell="Q8" sqref="Q8"/>
    </sheetView>
  </sheetViews>
  <sheetFormatPr defaultRowHeight="14.5" x14ac:dyDescent="0.35"/>
  <cols>
    <col min="5" max="5" width="13.6328125" customWidth="1"/>
  </cols>
  <sheetData>
    <row r="2" spans="2:13" ht="15" thickBot="1" x14ac:dyDescent="0.4">
      <c r="B2" s="1" t="s">
        <v>3</v>
      </c>
      <c r="E2" s="1" t="s">
        <v>20</v>
      </c>
      <c r="F2" s="1" t="s">
        <v>23</v>
      </c>
      <c r="G2" s="1" t="s">
        <v>21</v>
      </c>
      <c r="H2" s="1" t="s">
        <v>22</v>
      </c>
      <c r="J2" s="2" t="s">
        <v>24</v>
      </c>
      <c r="K2" s="3"/>
    </row>
    <row r="3" spans="2:13" x14ac:dyDescent="0.35">
      <c r="B3" t="s">
        <v>8</v>
      </c>
      <c r="E3" t="str">
        <f>Executor!C6&amp;_xlfn.XLOOKUP(Executor!D6,Hidden!$B$3:$B$5,Hidden!$C$3:$C$5)</f>
        <v>AMZN</v>
      </c>
      <c r="F3">
        <f>Executor!E6</f>
        <v>1000</v>
      </c>
      <c r="G3">
        <f>Executor!H5</f>
        <v>5</v>
      </c>
      <c r="H3" t="str">
        <f>Executor!H7</f>
        <v>Yes</v>
      </c>
      <c r="J3" t="s">
        <v>25</v>
      </c>
      <c r="K3">
        <v>0.17862900290085101</v>
      </c>
      <c r="M3" t="s">
        <v>1</v>
      </c>
    </row>
    <row r="4" spans="2:13" x14ac:dyDescent="0.35">
      <c r="B4" t="s">
        <v>9</v>
      </c>
      <c r="C4" t="s">
        <v>12</v>
      </c>
      <c r="E4" t="str">
        <f>Executor!C7&amp;_xlfn.XLOOKUP(Executor!D7,Hidden!$B$3:$B$5,Hidden!$C$3:$C$5)</f>
        <v>TSLA</v>
      </c>
      <c r="F4">
        <f>Executor!E7</f>
        <v>2000</v>
      </c>
      <c r="J4" t="s">
        <v>26</v>
      </c>
      <c r="K4">
        <v>0.31528637138691701</v>
      </c>
      <c r="M4" t="str">
        <f>J4</f>
        <v>AMZN.Adjusted</v>
      </c>
    </row>
    <row r="5" spans="2:13" x14ac:dyDescent="0.35">
      <c r="B5" t="s">
        <v>10</v>
      </c>
      <c r="C5" t="s">
        <v>11</v>
      </c>
      <c r="E5" t="str">
        <f>Executor!C8&amp;_xlfn.XLOOKUP(Executor!D8,Hidden!$B$3:$B$5,Hidden!$C$3:$C$5)</f>
        <v>NVDA</v>
      </c>
      <c r="F5">
        <f>Executor!E8</f>
        <v>3000</v>
      </c>
      <c r="J5" t="s">
        <v>27</v>
      </c>
      <c r="K5">
        <v>0.51448199580183795</v>
      </c>
      <c r="M5" t="str">
        <f t="shared" ref="M5:M68" si="0">J5</f>
        <v>TSLA.Adjusted</v>
      </c>
    </row>
    <row r="6" spans="2:13" x14ac:dyDescent="0.35">
      <c r="E6" t="str">
        <f>Executor!C9&amp;_xlfn.XLOOKUP(Executor!D9,Hidden!$B$3:$B$5,Hidden!$C$3:$C$5)</f>
        <v>CBA.AX</v>
      </c>
      <c r="F6">
        <f>Executor!E9</f>
        <v>4000</v>
      </c>
      <c r="J6" t="s">
        <v>30</v>
      </c>
      <c r="K6">
        <v>0.47310444260767498</v>
      </c>
      <c r="M6" t="str">
        <f t="shared" si="0"/>
        <v>NVDA.Adjusted</v>
      </c>
    </row>
    <row r="7" spans="2:13" x14ac:dyDescent="0.35">
      <c r="E7" t="str">
        <f>Executor!C10&amp;_xlfn.XLOOKUP(Executor!D10,Hidden!$B$3:$B$5,Hidden!$C$3:$C$5)</f>
        <v>ASX.AX</v>
      </c>
      <c r="F7">
        <f>Executor!E10</f>
        <v>10000</v>
      </c>
      <c r="J7" t="s">
        <v>28</v>
      </c>
      <c r="K7">
        <v>0.17125974241390701</v>
      </c>
      <c r="M7" t="str">
        <f t="shared" si="0"/>
        <v>CBA.AX.Adjusted</v>
      </c>
    </row>
    <row r="8" spans="2:13" x14ac:dyDescent="0.35">
      <c r="B8" s="1" t="s">
        <v>17</v>
      </c>
      <c r="E8" t="e">
        <f>Executor!C11&amp;_xlfn.XLOOKUP(Executor!D11,Hidden!$B$3:$B$5,Hidden!$C$3:$C$5)</f>
        <v>#N/A</v>
      </c>
      <c r="F8">
        <f>Executor!E11</f>
        <v>0</v>
      </c>
      <c r="J8" t="s">
        <v>33</v>
      </c>
      <c r="K8">
        <v>0.17895334805048899</v>
      </c>
      <c r="M8" t="str">
        <f t="shared" si="0"/>
        <v>ASX.AX.Adjusted</v>
      </c>
    </row>
    <row r="9" spans="2:13" x14ac:dyDescent="0.35">
      <c r="B9" t="s">
        <v>18</v>
      </c>
      <c r="E9" t="e">
        <f>Executor!C12&amp;_xlfn.XLOOKUP(Executor!D12,Hidden!$B$3:$B$5,Hidden!$C$3:$C$5)</f>
        <v>#N/A</v>
      </c>
      <c r="F9">
        <f>Executor!E12</f>
        <v>0</v>
      </c>
      <c r="M9">
        <f t="shared" si="0"/>
        <v>0</v>
      </c>
    </row>
    <row r="10" spans="2:13" x14ac:dyDescent="0.35">
      <c r="B10" t="s">
        <v>19</v>
      </c>
      <c r="E10" t="e">
        <f>Executor!C13&amp;_xlfn.XLOOKUP(Executor!D13,Hidden!$B$3:$B$5,Hidden!$C$3:$C$5)</f>
        <v>#N/A</v>
      </c>
      <c r="F10">
        <f>Executor!E13</f>
        <v>0</v>
      </c>
      <c r="M10">
        <f t="shared" si="0"/>
        <v>0</v>
      </c>
    </row>
    <row r="11" spans="2:13" x14ac:dyDescent="0.35">
      <c r="E11" t="e">
        <f>Executor!C14&amp;_xlfn.XLOOKUP(Executor!D14,Hidden!$B$3:$B$5,Hidden!$C$3:$C$5)</f>
        <v>#N/A</v>
      </c>
      <c r="F11">
        <f>Executor!E14</f>
        <v>0</v>
      </c>
      <c r="M11">
        <f t="shared" si="0"/>
        <v>0</v>
      </c>
    </row>
    <row r="12" spans="2:13" x14ac:dyDescent="0.35">
      <c r="E12" t="e">
        <f>Executor!C15&amp;_xlfn.XLOOKUP(Executor!D15,Hidden!$B$3:$B$5,Hidden!$C$3:$C$5)</f>
        <v>#N/A</v>
      </c>
      <c r="F12">
        <f>Executor!E15</f>
        <v>0</v>
      </c>
      <c r="M12">
        <f t="shared" si="0"/>
        <v>0</v>
      </c>
    </row>
    <row r="13" spans="2:13" x14ac:dyDescent="0.35">
      <c r="E13" t="e">
        <f>Executor!C16&amp;_xlfn.XLOOKUP(Executor!D16,Hidden!$B$3:$B$5,Hidden!$C$3:$C$5)</f>
        <v>#N/A</v>
      </c>
      <c r="F13">
        <f>Executor!E16</f>
        <v>0</v>
      </c>
      <c r="M13">
        <f t="shared" si="0"/>
        <v>0</v>
      </c>
    </row>
    <row r="14" spans="2:13" x14ac:dyDescent="0.35">
      <c r="E14" t="e">
        <f>Executor!C17&amp;_xlfn.XLOOKUP(Executor!D17,Hidden!$B$3:$B$5,Hidden!$C$3:$C$5)</f>
        <v>#N/A</v>
      </c>
      <c r="F14">
        <f>Executor!E17</f>
        <v>0</v>
      </c>
      <c r="M14">
        <f t="shared" si="0"/>
        <v>0</v>
      </c>
    </row>
    <row r="15" spans="2:13" x14ac:dyDescent="0.35">
      <c r="E15" t="e">
        <f>Executor!C18&amp;_xlfn.XLOOKUP(Executor!D18,Hidden!$B$3:$B$5,Hidden!$C$3:$C$5)</f>
        <v>#N/A</v>
      </c>
      <c r="F15">
        <f>Executor!E18</f>
        <v>0</v>
      </c>
      <c r="M15">
        <f t="shared" si="0"/>
        <v>0</v>
      </c>
    </row>
    <row r="16" spans="2:13" x14ac:dyDescent="0.35">
      <c r="E16" t="e">
        <f>Executor!C19&amp;_xlfn.XLOOKUP(Executor!D19,Hidden!$B$3:$B$5,Hidden!$C$3:$C$5)</f>
        <v>#N/A</v>
      </c>
      <c r="F16">
        <f>Executor!E19</f>
        <v>0</v>
      </c>
      <c r="M16">
        <f t="shared" si="0"/>
        <v>0</v>
      </c>
    </row>
    <row r="17" spans="5:13" x14ac:dyDescent="0.35">
      <c r="E17" t="e">
        <f>Executor!C20&amp;_xlfn.XLOOKUP(Executor!D20,Hidden!$B$3:$B$5,Hidden!$C$3:$C$5)</f>
        <v>#N/A</v>
      </c>
      <c r="F17">
        <f>Executor!E20</f>
        <v>0</v>
      </c>
      <c r="M17">
        <f t="shared" si="0"/>
        <v>0</v>
      </c>
    </row>
    <row r="18" spans="5:13" x14ac:dyDescent="0.35">
      <c r="E18" t="e">
        <f>Executor!C21&amp;_xlfn.XLOOKUP(Executor!D21,Hidden!$B$3:$B$5,Hidden!$C$3:$C$5)</f>
        <v>#N/A</v>
      </c>
      <c r="F18">
        <f>Executor!E21</f>
        <v>0</v>
      </c>
      <c r="M18">
        <f t="shared" si="0"/>
        <v>0</v>
      </c>
    </row>
    <row r="19" spans="5:13" x14ac:dyDescent="0.35">
      <c r="E19" t="e">
        <f>Executor!C22&amp;_xlfn.XLOOKUP(Executor!D22,Hidden!$B$3:$B$5,Hidden!$C$3:$C$5)</f>
        <v>#N/A</v>
      </c>
      <c r="F19">
        <f>Executor!E22</f>
        <v>0</v>
      </c>
      <c r="M19">
        <f t="shared" si="0"/>
        <v>0</v>
      </c>
    </row>
    <row r="20" spans="5:13" x14ac:dyDescent="0.35">
      <c r="E20" t="e">
        <f>Executor!C23&amp;_xlfn.XLOOKUP(Executor!D23,Hidden!$B$3:$B$5,Hidden!$C$3:$C$5)</f>
        <v>#N/A</v>
      </c>
      <c r="F20">
        <f>Executor!E23</f>
        <v>0</v>
      </c>
      <c r="M20">
        <f t="shared" si="0"/>
        <v>0</v>
      </c>
    </row>
    <row r="21" spans="5:13" x14ac:dyDescent="0.35">
      <c r="E21" t="e">
        <f>Executor!C24&amp;_xlfn.XLOOKUP(Executor!D24,Hidden!$B$3:$B$5,Hidden!$C$3:$C$5)</f>
        <v>#N/A</v>
      </c>
      <c r="F21">
        <f>Executor!E24</f>
        <v>0</v>
      </c>
      <c r="M21">
        <f t="shared" si="0"/>
        <v>0</v>
      </c>
    </row>
    <row r="22" spans="5:13" x14ac:dyDescent="0.35">
      <c r="E22" t="e">
        <f>Executor!C25&amp;_xlfn.XLOOKUP(Executor!D25,Hidden!$B$3:$B$5,Hidden!$C$3:$C$5)</f>
        <v>#N/A</v>
      </c>
      <c r="F22">
        <f>Executor!E25</f>
        <v>0</v>
      </c>
      <c r="M22">
        <f t="shared" si="0"/>
        <v>0</v>
      </c>
    </row>
    <row r="23" spans="5:13" x14ac:dyDescent="0.35">
      <c r="E23" t="e">
        <f>Executor!C26&amp;_xlfn.XLOOKUP(Executor!D26,Hidden!$B$3:$B$5,Hidden!$C$3:$C$5)</f>
        <v>#N/A</v>
      </c>
      <c r="F23">
        <f>Executor!E26</f>
        <v>0</v>
      </c>
      <c r="M23">
        <f t="shared" si="0"/>
        <v>0</v>
      </c>
    </row>
    <row r="24" spans="5:13" x14ac:dyDescent="0.35">
      <c r="E24" t="e">
        <f>Executor!C27&amp;_xlfn.XLOOKUP(Executor!D27,Hidden!$B$3:$B$5,Hidden!$C$3:$C$5)</f>
        <v>#N/A</v>
      </c>
      <c r="F24">
        <f>Executor!E27</f>
        <v>0</v>
      </c>
      <c r="M24">
        <f t="shared" si="0"/>
        <v>0</v>
      </c>
    </row>
    <row r="25" spans="5:13" x14ac:dyDescent="0.35">
      <c r="E25" t="e">
        <f>Executor!C28&amp;_xlfn.XLOOKUP(Executor!D28,Hidden!$B$3:$B$5,Hidden!$C$3:$C$5)</f>
        <v>#N/A</v>
      </c>
      <c r="F25">
        <f>Executor!E28</f>
        <v>0</v>
      </c>
      <c r="M25">
        <f t="shared" si="0"/>
        <v>0</v>
      </c>
    </row>
    <row r="26" spans="5:13" x14ac:dyDescent="0.35">
      <c r="E26" t="e">
        <f>Executor!C29&amp;_xlfn.XLOOKUP(Executor!D29,Hidden!$B$3:$B$5,Hidden!$C$3:$C$5)</f>
        <v>#N/A</v>
      </c>
      <c r="F26">
        <f>Executor!E29</f>
        <v>0</v>
      </c>
      <c r="M26">
        <f t="shared" si="0"/>
        <v>0</v>
      </c>
    </row>
    <row r="27" spans="5:13" x14ac:dyDescent="0.35">
      <c r="E27" t="e">
        <f>Executor!C30&amp;_xlfn.XLOOKUP(Executor!D30,Hidden!$B$3:$B$5,Hidden!$C$3:$C$5)</f>
        <v>#N/A</v>
      </c>
      <c r="F27">
        <f>Executor!E30</f>
        <v>0</v>
      </c>
      <c r="M27">
        <f t="shared" si="0"/>
        <v>0</v>
      </c>
    </row>
    <row r="28" spans="5:13" x14ac:dyDescent="0.35">
      <c r="E28" t="e">
        <f>Executor!C31&amp;_xlfn.XLOOKUP(Executor!D31,Hidden!$B$3:$B$5,Hidden!$C$3:$C$5)</f>
        <v>#N/A</v>
      </c>
      <c r="F28">
        <f>Executor!E31</f>
        <v>0</v>
      </c>
      <c r="M28">
        <f t="shared" si="0"/>
        <v>0</v>
      </c>
    </row>
    <row r="29" spans="5:13" x14ac:dyDescent="0.35">
      <c r="E29" t="e">
        <f>Executor!C32&amp;_xlfn.XLOOKUP(Executor!D32,Hidden!$B$3:$B$5,Hidden!$C$3:$C$5)</f>
        <v>#N/A</v>
      </c>
      <c r="F29">
        <f>Executor!E32</f>
        <v>0</v>
      </c>
      <c r="M29">
        <f t="shared" si="0"/>
        <v>0</v>
      </c>
    </row>
    <row r="30" spans="5:13" x14ac:dyDescent="0.35">
      <c r="E30" t="e">
        <f>Executor!C33&amp;_xlfn.XLOOKUP(Executor!D33,Hidden!$B$3:$B$5,Hidden!$C$3:$C$5)</f>
        <v>#N/A</v>
      </c>
      <c r="F30">
        <f>Executor!E33</f>
        <v>0</v>
      </c>
      <c r="M30">
        <f t="shared" si="0"/>
        <v>0</v>
      </c>
    </row>
    <row r="31" spans="5:13" x14ac:dyDescent="0.35">
      <c r="E31" t="e">
        <f>Executor!C34&amp;_xlfn.XLOOKUP(Executor!D34,Hidden!$B$3:$B$5,Hidden!$C$3:$C$5)</f>
        <v>#N/A</v>
      </c>
      <c r="F31">
        <f>Executor!E34</f>
        <v>0</v>
      </c>
      <c r="M31">
        <f t="shared" si="0"/>
        <v>0</v>
      </c>
    </row>
    <row r="32" spans="5:13" x14ac:dyDescent="0.35">
      <c r="E32" t="e">
        <f>Executor!C35&amp;_xlfn.XLOOKUP(Executor!D35,Hidden!$B$3:$B$5,Hidden!$C$3:$C$5)</f>
        <v>#N/A</v>
      </c>
      <c r="F32">
        <f>Executor!E35</f>
        <v>0</v>
      </c>
      <c r="M32">
        <f t="shared" si="0"/>
        <v>0</v>
      </c>
    </row>
    <row r="33" spans="5:13" x14ac:dyDescent="0.35">
      <c r="E33" t="e">
        <f>Executor!C36&amp;_xlfn.XLOOKUP(Executor!D36,Hidden!$B$3:$B$5,Hidden!$C$3:$C$5)</f>
        <v>#N/A</v>
      </c>
      <c r="F33">
        <f>Executor!E36</f>
        <v>0</v>
      </c>
      <c r="M33">
        <f t="shared" si="0"/>
        <v>0</v>
      </c>
    </row>
    <row r="34" spans="5:13" x14ac:dyDescent="0.35">
      <c r="E34" t="e">
        <f>Executor!C37&amp;_xlfn.XLOOKUP(Executor!D37,Hidden!$B$3:$B$5,Hidden!$C$3:$C$5)</f>
        <v>#N/A</v>
      </c>
      <c r="F34">
        <f>Executor!E37</f>
        <v>0</v>
      </c>
      <c r="M34">
        <f t="shared" si="0"/>
        <v>0</v>
      </c>
    </row>
    <row r="35" spans="5:13" x14ac:dyDescent="0.35">
      <c r="E35" t="e">
        <f>Executor!C38&amp;_xlfn.XLOOKUP(Executor!D38,Hidden!$B$3:$B$5,Hidden!$C$3:$C$5)</f>
        <v>#N/A</v>
      </c>
      <c r="F35">
        <f>Executor!E38</f>
        <v>0</v>
      </c>
      <c r="M35">
        <f t="shared" si="0"/>
        <v>0</v>
      </c>
    </row>
    <row r="36" spans="5:13" x14ac:dyDescent="0.35">
      <c r="E36" t="e">
        <f>Executor!C39&amp;_xlfn.XLOOKUP(Executor!D39,Hidden!$B$3:$B$5,Hidden!$C$3:$C$5)</f>
        <v>#N/A</v>
      </c>
      <c r="F36">
        <f>Executor!E39</f>
        <v>0</v>
      </c>
      <c r="M36">
        <f t="shared" si="0"/>
        <v>0</v>
      </c>
    </row>
    <row r="37" spans="5:13" x14ac:dyDescent="0.35">
      <c r="E37" t="e">
        <f>Executor!C40&amp;_xlfn.XLOOKUP(Executor!D40,Hidden!$B$3:$B$5,Hidden!$C$3:$C$5)</f>
        <v>#N/A</v>
      </c>
      <c r="F37">
        <f>Executor!E40</f>
        <v>0</v>
      </c>
      <c r="M37">
        <f t="shared" si="0"/>
        <v>0</v>
      </c>
    </row>
    <row r="38" spans="5:13" x14ac:dyDescent="0.35">
      <c r="E38" t="e">
        <f>Executor!C41&amp;_xlfn.XLOOKUP(Executor!D41,Hidden!$B$3:$B$5,Hidden!$C$3:$C$5)</f>
        <v>#N/A</v>
      </c>
      <c r="F38">
        <f>Executor!E41</f>
        <v>0</v>
      </c>
      <c r="M38">
        <f t="shared" si="0"/>
        <v>0</v>
      </c>
    </row>
    <row r="39" spans="5:13" x14ac:dyDescent="0.35">
      <c r="E39" t="e">
        <f>Executor!C42&amp;_xlfn.XLOOKUP(Executor!D42,Hidden!$B$3:$B$5,Hidden!$C$3:$C$5)</f>
        <v>#N/A</v>
      </c>
      <c r="F39">
        <f>Executor!E42</f>
        <v>0</v>
      </c>
      <c r="M39">
        <f t="shared" si="0"/>
        <v>0</v>
      </c>
    </row>
    <row r="40" spans="5:13" x14ac:dyDescent="0.35">
      <c r="E40" t="e">
        <f>Executor!C43&amp;_xlfn.XLOOKUP(Executor!D43,Hidden!$B$3:$B$5,Hidden!$C$3:$C$5)</f>
        <v>#N/A</v>
      </c>
      <c r="F40">
        <f>Executor!E43</f>
        <v>0</v>
      </c>
      <c r="M40">
        <f t="shared" si="0"/>
        <v>0</v>
      </c>
    </row>
    <row r="41" spans="5:13" x14ac:dyDescent="0.35">
      <c r="E41" t="e">
        <f>Executor!C44&amp;_xlfn.XLOOKUP(Executor!D44,Hidden!$B$3:$B$5,Hidden!$C$3:$C$5)</f>
        <v>#N/A</v>
      </c>
      <c r="F41">
        <f>Executor!E44</f>
        <v>0</v>
      </c>
      <c r="M41">
        <f t="shared" si="0"/>
        <v>0</v>
      </c>
    </row>
    <row r="42" spans="5:13" x14ac:dyDescent="0.35">
      <c r="E42" t="e">
        <f>Executor!C45&amp;_xlfn.XLOOKUP(Executor!D45,Hidden!$B$3:$B$5,Hidden!$C$3:$C$5)</f>
        <v>#N/A</v>
      </c>
      <c r="F42">
        <f>Executor!E45</f>
        <v>0</v>
      </c>
      <c r="M42">
        <f t="shared" si="0"/>
        <v>0</v>
      </c>
    </row>
    <row r="43" spans="5:13" x14ac:dyDescent="0.35">
      <c r="E43" t="e">
        <f>Executor!C46&amp;_xlfn.XLOOKUP(Executor!D46,Hidden!$B$3:$B$5,Hidden!$C$3:$C$5)</f>
        <v>#N/A</v>
      </c>
      <c r="F43">
        <f>Executor!E46</f>
        <v>0</v>
      </c>
      <c r="M43">
        <f t="shared" si="0"/>
        <v>0</v>
      </c>
    </row>
    <row r="44" spans="5:13" x14ac:dyDescent="0.35">
      <c r="E44" t="e">
        <f>Executor!C47&amp;_xlfn.XLOOKUP(Executor!D47,Hidden!$B$3:$B$5,Hidden!$C$3:$C$5)</f>
        <v>#N/A</v>
      </c>
      <c r="F44">
        <f>Executor!E47</f>
        <v>0</v>
      </c>
      <c r="M44">
        <f t="shared" si="0"/>
        <v>0</v>
      </c>
    </row>
    <row r="45" spans="5:13" x14ac:dyDescent="0.35">
      <c r="E45" t="e">
        <f>Executor!C48&amp;_xlfn.XLOOKUP(Executor!D48,Hidden!$B$3:$B$5,Hidden!$C$3:$C$5)</f>
        <v>#N/A</v>
      </c>
      <c r="F45">
        <f>Executor!E48</f>
        <v>0</v>
      </c>
      <c r="M45">
        <f t="shared" si="0"/>
        <v>0</v>
      </c>
    </row>
    <row r="46" spans="5:13" x14ac:dyDescent="0.35">
      <c r="E46" t="e">
        <f>Executor!C49&amp;_xlfn.XLOOKUP(Executor!D49,Hidden!$B$3:$B$5,Hidden!$C$3:$C$5)</f>
        <v>#N/A</v>
      </c>
      <c r="F46">
        <f>Executor!E49</f>
        <v>0</v>
      </c>
      <c r="M46">
        <f t="shared" si="0"/>
        <v>0</v>
      </c>
    </row>
    <row r="47" spans="5:13" x14ac:dyDescent="0.35">
      <c r="E47" t="e">
        <f>Executor!C50&amp;_xlfn.XLOOKUP(Executor!D50,Hidden!$B$3:$B$5,Hidden!$C$3:$C$5)</f>
        <v>#N/A</v>
      </c>
      <c r="F47">
        <f>Executor!E50</f>
        <v>0</v>
      </c>
      <c r="M47">
        <f t="shared" si="0"/>
        <v>0</v>
      </c>
    </row>
    <row r="48" spans="5:13" x14ac:dyDescent="0.35">
      <c r="E48" t="e">
        <f>Executor!C51&amp;_xlfn.XLOOKUP(Executor!D51,Hidden!$B$3:$B$5,Hidden!$C$3:$C$5)</f>
        <v>#N/A</v>
      </c>
      <c r="F48">
        <f>Executor!E51</f>
        <v>0</v>
      </c>
      <c r="M48">
        <f t="shared" si="0"/>
        <v>0</v>
      </c>
    </row>
    <row r="49" spans="5:13" x14ac:dyDescent="0.35">
      <c r="E49" t="e">
        <f>Executor!C52&amp;_xlfn.XLOOKUP(Executor!D52,Hidden!$B$3:$B$5,Hidden!$C$3:$C$5)</f>
        <v>#N/A</v>
      </c>
      <c r="F49">
        <f>Executor!E52</f>
        <v>0</v>
      </c>
      <c r="M49">
        <f t="shared" si="0"/>
        <v>0</v>
      </c>
    </row>
    <row r="50" spans="5:13" x14ac:dyDescent="0.35">
      <c r="E50" t="e">
        <f>Executor!C53&amp;_xlfn.XLOOKUP(Executor!D53,Hidden!$B$3:$B$5,Hidden!$C$3:$C$5)</f>
        <v>#N/A</v>
      </c>
      <c r="F50">
        <f>Executor!E53</f>
        <v>0</v>
      </c>
      <c r="M50">
        <f t="shared" si="0"/>
        <v>0</v>
      </c>
    </row>
    <row r="51" spans="5:13" x14ac:dyDescent="0.35">
      <c r="E51" t="e">
        <f>Executor!C54&amp;_xlfn.XLOOKUP(Executor!D54,Hidden!$B$3:$B$5,Hidden!$C$3:$C$5)</f>
        <v>#N/A</v>
      </c>
      <c r="F51">
        <f>Executor!E54</f>
        <v>0</v>
      </c>
      <c r="M51">
        <f t="shared" si="0"/>
        <v>0</v>
      </c>
    </row>
    <row r="52" spans="5:13" x14ac:dyDescent="0.35">
      <c r="E52" t="e">
        <f>Executor!C55&amp;_xlfn.XLOOKUP(Executor!D55,Hidden!$B$3:$B$5,Hidden!$C$3:$C$5)</f>
        <v>#N/A</v>
      </c>
      <c r="F52">
        <f>Executor!E55</f>
        <v>0</v>
      </c>
      <c r="M52">
        <f t="shared" si="0"/>
        <v>0</v>
      </c>
    </row>
    <row r="53" spans="5:13" x14ac:dyDescent="0.35">
      <c r="E53" t="e">
        <f>Executor!C56&amp;_xlfn.XLOOKUP(Executor!D56,Hidden!$B$3:$B$5,Hidden!$C$3:$C$5)</f>
        <v>#N/A</v>
      </c>
      <c r="F53">
        <f>Executor!E56</f>
        <v>0</v>
      </c>
      <c r="M53">
        <f t="shared" si="0"/>
        <v>0</v>
      </c>
    </row>
    <row r="54" spans="5:13" x14ac:dyDescent="0.35">
      <c r="E54" t="e">
        <f>Executor!C57&amp;_xlfn.XLOOKUP(Executor!D57,Hidden!$B$3:$B$5,Hidden!$C$3:$C$5)</f>
        <v>#N/A</v>
      </c>
      <c r="F54">
        <f>Executor!E57</f>
        <v>0</v>
      </c>
      <c r="M54">
        <f t="shared" si="0"/>
        <v>0</v>
      </c>
    </row>
    <row r="55" spans="5:13" x14ac:dyDescent="0.35">
      <c r="E55" t="e">
        <f>Executor!C58&amp;_xlfn.XLOOKUP(Executor!D58,Hidden!$B$3:$B$5,Hidden!$C$3:$C$5)</f>
        <v>#N/A</v>
      </c>
      <c r="F55">
        <f>Executor!E58</f>
        <v>0</v>
      </c>
      <c r="M55">
        <f t="shared" si="0"/>
        <v>0</v>
      </c>
    </row>
    <row r="56" spans="5:13" x14ac:dyDescent="0.35">
      <c r="E56" t="e">
        <f>Executor!C59&amp;_xlfn.XLOOKUP(Executor!D59,Hidden!$B$3:$B$5,Hidden!$C$3:$C$5)</f>
        <v>#N/A</v>
      </c>
      <c r="F56">
        <f>Executor!E59</f>
        <v>0</v>
      </c>
      <c r="M56">
        <f t="shared" si="0"/>
        <v>0</v>
      </c>
    </row>
    <row r="57" spans="5:13" x14ac:dyDescent="0.35">
      <c r="E57" t="e">
        <f>Executor!C60&amp;_xlfn.XLOOKUP(Executor!D60,Hidden!$B$3:$B$5,Hidden!$C$3:$C$5)</f>
        <v>#N/A</v>
      </c>
      <c r="F57">
        <f>Executor!E60</f>
        <v>0</v>
      </c>
      <c r="M57">
        <f t="shared" si="0"/>
        <v>0</v>
      </c>
    </row>
    <row r="58" spans="5:13" x14ac:dyDescent="0.35">
      <c r="E58" t="e">
        <f>Executor!C61&amp;_xlfn.XLOOKUP(Executor!D61,Hidden!$B$3:$B$5,Hidden!$C$3:$C$5)</f>
        <v>#N/A</v>
      </c>
      <c r="F58">
        <f>Executor!E61</f>
        <v>0</v>
      </c>
      <c r="M58">
        <f t="shared" si="0"/>
        <v>0</v>
      </c>
    </row>
    <row r="59" spans="5:13" x14ac:dyDescent="0.35">
      <c r="E59" t="e">
        <f>Executor!C62&amp;_xlfn.XLOOKUP(Executor!D62,Hidden!$B$3:$B$5,Hidden!$C$3:$C$5)</f>
        <v>#N/A</v>
      </c>
      <c r="F59">
        <f>Executor!E62</f>
        <v>0</v>
      </c>
      <c r="M59">
        <f t="shared" si="0"/>
        <v>0</v>
      </c>
    </row>
    <row r="60" spans="5:13" x14ac:dyDescent="0.35">
      <c r="E60" t="e">
        <f>Executor!C63&amp;_xlfn.XLOOKUP(Executor!D63,Hidden!$B$3:$B$5,Hidden!$C$3:$C$5)</f>
        <v>#N/A</v>
      </c>
      <c r="F60">
        <f>Executor!E63</f>
        <v>0</v>
      </c>
      <c r="M60">
        <f t="shared" si="0"/>
        <v>0</v>
      </c>
    </row>
    <row r="61" spans="5:13" x14ac:dyDescent="0.35">
      <c r="E61" t="e">
        <f>Executor!C64&amp;_xlfn.XLOOKUP(Executor!D64,Hidden!$B$3:$B$5,Hidden!$C$3:$C$5)</f>
        <v>#N/A</v>
      </c>
      <c r="F61">
        <f>Executor!E64</f>
        <v>0</v>
      </c>
      <c r="M61">
        <f t="shared" si="0"/>
        <v>0</v>
      </c>
    </row>
    <row r="62" spans="5:13" x14ac:dyDescent="0.35">
      <c r="E62" t="e">
        <f>Executor!C65&amp;_xlfn.XLOOKUP(Executor!D65,Hidden!$B$3:$B$5,Hidden!$C$3:$C$5)</f>
        <v>#N/A</v>
      </c>
      <c r="F62">
        <f>Executor!E65</f>
        <v>0</v>
      </c>
      <c r="M62">
        <f t="shared" si="0"/>
        <v>0</v>
      </c>
    </row>
    <row r="63" spans="5:13" x14ac:dyDescent="0.35">
      <c r="E63" t="e">
        <f>Executor!C66&amp;_xlfn.XLOOKUP(Executor!D66,Hidden!$B$3:$B$5,Hidden!$C$3:$C$5)</f>
        <v>#N/A</v>
      </c>
      <c r="F63">
        <f>Executor!E66</f>
        <v>0</v>
      </c>
      <c r="M63">
        <f t="shared" si="0"/>
        <v>0</v>
      </c>
    </row>
    <row r="64" spans="5:13" x14ac:dyDescent="0.35">
      <c r="E64" t="e">
        <f>Executor!C67&amp;_xlfn.XLOOKUP(Executor!D67,Hidden!$B$3:$B$5,Hidden!$C$3:$C$5)</f>
        <v>#N/A</v>
      </c>
      <c r="F64">
        <f>Executor!E67</f>
        <v>0</v>
      </c>
      <c r="M64">
        <f t="shared" si="0"/>
        <v>0</v>
      </c>
    </row>
    <row r="65" spans="5:13" x14ac:dyDescent="0.35">
      <c r="E65" t="e">
        <f>Executor!C68&amp;_xlfn.XLOOKUP(Executor!D68,Hidden!$B$3:$B$5,Hidden!$C$3:$C$5)</f>
        <v>#N/A</v>
      </c>
      <c r="F65">
        <f>Executor!E68</f>
        <v>0</v>
      </c>
      <c r="M65">
        <f t="shared" si="0"/>
        <v>0</v>
      </c>
    </row>
    <row r="66" spans="5:13" x14ac:dyDescent="0.35">
      <c r="E66" t="e">
        <f>Executor!C69&amp;_xlfn.XLOOKUP(Executor!D69,Hidden!$B$3:$B$5,Hidden!$C$3:$C$5)</f>
        <v>#N/A</v>
      </c>
      <c r="F66">
        <f>Executor!E69</f>
        <v>0</v>
      </c>
      <c r="M66">
        <f t="shared" si="0"/>
        <v>0</v>
      </c>
    </row>
    <row r="67" spans="5:13" x14ac:dyDescent="0.35">
      <c r="E67" t="e">
        <f>Executor!C70&amp;_xlfn.XLOOKUP(Executor!D70,Hidden!$B$3:$B$5,Hidden!$C$3:$C$5)</f>
        <v>#N/A</v>
      </c>
      <c r="F67">
        <f>Executor!E70</f>
        <v>0</v>
      </c>
      <c r="M67">
        <f t="shared" si="0"/>
        <v>0</v>
      </c>
    </row>
    <row r="68" spans="5:13" x14ac:dyDescent="0.35">
      <c r="E68" t="e">
        <f>Executor!C71&amp;_xlfn.XLOOKUP(Executor!D71,Hidden!$B$3:$B$5,Hidden!$C$3:$C$5)</f>
        <v>#N/A</v>
      </c>
      <c r="F68">
        <f>Executor!E71</f>
        <v>0</v>
      </c>
      <c r="M68">
        <f t="shared" si="0"/>
        <v>0</v>
      </c>
    </row>
    <row r="69" spans="5:13" x14ac:dyDescent="0.35">
      <c r="E69" t="e">
        <f>Executor!C72&amp;_xlfn.XLOOKUP(Executor!D72,Hidden!$B$3:$B$5,Hidden!$C$3:$C$5)</f>
        <v>#N/A</v>
      </c>
      <c r="F69">
        <f>Executor!E72</f>
        <v>0</v>
      </c>
      <c r="M69">
        <f t="shared" ref="M69:M103" si="1">J69</f>
        <v>0</v>
      </c>
    </row>
    <row r="70" spans="5:13" x14ac:dyDescent="0.35">
      <c r="E70" t="e">
        <f>Executor!C73&amp;_xlfn.XLOOKUP(Executor!D73,Hidden!$B$3:$B$5,Hidden!$C$3:$C$5)</f>
        <v>#N/A</v>
      </c>
      <c r="F70">
        <f>Executor!E73</f>
        <v>0</v>
      </c>
      <c r="M70">
        <f t="shared" si="1"/>
        <v>0</v>
      </c>
    </row>
    <row r="71" spans="5:13" x14ac:dyDescent="0.35">
      <c r="E71" t="e">
        <f>Executor!C74&amp;_xlfn.XLOOKUP(Executor!D74,Hidden!$B$3:$B$5,Hidden!$C$3:$C$5)</f>
        <v>#N/A</v>
      </c>
      <c r="F71">
        <f>Executor!E74</f>
        <v>0</v>
      </c>
      <c r="M71">
        <f t="shared" si="1"/>
        <v>0</v>
      </c>
    </row>
    <row r="72" spans="5:13" x14ac:dyDescent="0.35">
      <c r="E72" t="e">
        <f>Executor!C75&amp;_xlfn.XLOOKUP(Executor!D75,Hidden!$B$3:$B$5,Hidden!$C$3:$C$5)</f>
        <v>#N/A</v>
      </c>
      <c r="F72">
        <f>Executor!E75</f>
        <v>0</v>
      </c>
      <c r="M72">
        <f t="shared" si="1"/>
        <v>0</v>
      </c>
    </row>
    <row r="73" spans="5:13" x14ac:dyDescent="0.35">
      <c r="E73" t="e">
        <f>Executor!C76&amp;_xlfn.XLOOKUP(Executor!D76,Hidden!$B$3:$B$5,Hidden!$C$3:$C$5)</f>
        <v>#N/A</v>
      </c>
      <c r="F73">
        <f>Executor!E76</f>
        <v>0</v>
      </c>
      <c r="M73">
        <f t="shared" si="1"/>
        <v>0</v>
      </c>
    </row>
    <row r="74" spans="5:13" x14ac:dyDescent="0.35">
      <c r="E74" t="e">
        <f>Executor!C77&amp;_xlfn.XLOOKUP(Executor!D77,Hidden!$B$3:$B$5,Hidden!$C$3:$C$5)</f>
        <v>#N/A</v>
      </c>
      <c r="F74">
        <f>Executor!E77</f>
        <v>0</v>
      </c>
      <c r="M74">
        <f t="shared" si="1"/>
        <v>0</v>
      </c>
    </row>
    <row r="75" spans="5:13" x14ac:dyDescent="0.35">
      <c r="E75" t="e">
        <f>Executor!C78&amp;_xlfn.XLOOKUP(Executor!D78,Hidden!$B$3:$B$5,Hidden!$C$3:$C$5)</f>
        <v>#N/A</v>
      </c>
      <c r="F75">
        <f>Executor!E78</f>
        <v>0</v>
      </c>
      <c r="M75">
        <f t="shared" si="1"/>
        <v>0</v>
      </c>
    </row>
    <row r="76" spans="5:13" x14ac:dyDescent="0.35">
      <c r="E76" t="e">
        <f>Executor!C79&amp;_xlfn.XLOOKUP(Executor!D79,Hidden!$B$3:$B$5,Hidden!$C$3:$C$5)</f>
        <v>#N/A</v>
      </c>
      <c r="F76">
        <f>Executor!E79</f>
        <v>0</v>
      </c>
      <c r="M76">
        <f t="shared" si="1"/>
        <v>0</v>
      </c>
    </row>
    <row r="77" spans="5:13" x14ac:dyDescent="0.35">
      <c r="E77" t="e">
        <f>Executor!C80&amp;_xlfn.XLOOKUP(Executor!D80,Hidden!$B$3:$B$5,Hidden!$C$3:$C$5)</f>
        <v>#N/A</v>
      </c>
      <c r="F77">
        <f>Executor!E80</f>
        <v>0</v>
      </c>
      <c r="M77">
        <f t="shared" si="1"/>
        <v>0</v>
      </c>
    </row>
    <row r="78" spans="5:13" x14ac:dyDescent="0.35">
      <c r="E78" t="e">
        <f>Executor!C81&amp;_xlfn.XLOOKUP(Executor!D81,Hidden!$B$3:$B$5,Hidden!$C$3:$C$5)</f>
        <v>#N/A</v>
      </c>
      <c r="F78">
        <f>Executor!E81</f>
        <v>0</v>
      </c>
      <c r="M78">
        <f t="shared" si="1"/>
        <v>0</v>
      </c>
    </row>
    <row r="79" spans="5:13" x14ac:dyDescent="0.35">
      <c r="E79" t="e">
        <f>Executor!C82&amp;_xlfn.XLOOKUP(Executor!D82,Hidden!$B$3:$B$5,Hidden!$C$3:$C$5)</f>
        <v>#N/A</v>
      </c>
      <c r="F79">
        <f>Executor!E82</f>
        <v>0</v>
      </c>
      <c r="M79">
        <f t="shared" si="1"/>
        <v>0</v>
      </c>
    </row>
    <row r="80" spans="5:13" x14ac:dyDescent="0.35">
      <c r="E80" t="e">
        <f>Executor!C83&amp;_xlfn.XLOOKUP(Executor!D83,Hidden!$B$3:$B$5,Hidden!$C$3:$C$5)</f>
        <v>#N/A</v>
      </c>
      <c r="F80">
        <f>Executor!E83</f>
        <v>0</v>
      </c>
      <c r="M80">
        <f t="shared" si="1"/>
        <v>0</v>
      </c>
    </row>
    <row r="81" spans="5:13" x14ac:dyDescent="0.35">
      <c r="E81" t="e">
        <f>Executor!C84&amp;_xlfn.XLOOKUP(Executor!D84,Hidden!$B$3:$B$5,Hidden!$C$3:$C$5)</f>
        <v>#N/A</v>
      </c>
      <c r="F81">
        <f>Executor!E84</f>
        <v>0</v>
      </c>
      <c r="M81">
        <f t="shared" si="1"/>
        <v>0</v>
      </c>
    </row>
    <row r="82" spans="5:13" x14ac:dyDescent="0.35">
      <c r="E82" t="e">
        <f>Executor!C85&amp;_xlfn.XLOOKUP(Executor!D85,Hidden!$B$3:$B$5,Hidden!$C$3:$C$5)</f>
        <v>#N/A</v>
      </c>
      <c r="F82">
        <f>Executor!E85</f>
        <v>0</v>
      </c>
      <c r="M82">
        <f t="shared" si="1"/>
        <v>0</v>
      </c>
    </row>
    <row r="83" spans="5:13" x14ac:dyDescent="0.35">
      <c r="E83" t="e">
        <f>Executor!C86&amp;_xlfn.XLOOKUP(Executor!D86,Hidden!$B$3:$B$5,Hidden!$C$3:$C$5)</f>
        <v>#N/A</v>
      </c>
      <c r="F83">
        <f>Executor!E86</f>
        <v>0</v>
      </c>
      <c r="M83">
        <f t="shared" si="1"/>
        <v>0</v>
      </c>
    </row>
    <row r="84" spans="5:13" x14ac:dyDescent="0.35">
      <c r="E84" t="e">
        <f>Executor!C87&amp;_xlfn.XLOOKUP(Executor!D87,Hidden!$B$3:$B$5,Hidden!$C$3:$C$5)</f>
        <v>#N/A</v>
      </c>
      <c r="F84">
        <f>Executor!E87</f>
        <v>0</v>
      </c>
      <c r="M84">
        <f t="shared" si="1"/>
        <v>0</v>
      </c>
    </row>
    <row r="85" spans="5:13" x14ac:dyDescent="0.35">
      <c r="E85" t="e">
        <f>Executor!C88&amp;_xlfn.XLOOKUP(Executor!D88,Hidden!$B$3:$B$5,Hidden!$C$3:$C$5)</f>
        <v>#N/A</v>
      </c>
      <c r="F85">
        <f>Executor!E88</f>
        <v>0</v>
      </c>
      <c r="M85">
        <f t="shared" si="1"/>
        <v>0</v>
      </c>
    </row>
    <row r="86" spans="5:13" x14ac:dyDescent="0.35">
      <c r="E86" t="e">
        <f>Executor!C89&amp;_xlfn.XLOOKUP(Executor!D89,Hidden!$B$3:$B$5,Hidden!$C$3:$C$5)</f>
        <v>#N/A</v>
      </c>
      <c r="F86">
        <f>Executor!E89</f>
        <v>0</v>
      </c>
      <c r="M86">
        <f t="shared" si="1"/>
        <v>0</v>
      </c>
    </row>
    <row r="87" spans="5:13" x14ac:dyDescent="0.35">
      <c r="E87" t="e">
        <f>Executor!C90&amp;_xlfn.XLOOKUP(Executor!D90,Hidden!$B$3:$B$5,Hidden!$C$3:$C$5)</f>
        <v>#N/A</v>
      </c>
      <c r="F87">
        <f>Executor!E90</f>
        <v>0</v>
      </c>
      <c r="M87">
        <f t="shared" si="1"/>
        <v>0</v>
      </c>
    </row>
    <row r="88" spans="5:13" x14ac:dyDescent="0.35">
      <c r="E88" t="e">
        <f>Executor!C91&amp;_xlfn.XLOOKUP(Executor!D91,Hidden!$B$3:$B$5,Hidden!$C$3:$C$5)</f>
        <v>#N/A</v>
      </c>
      <c r="F88">
        <f>Executor!E91</f>
        <v>0</v>
      </c>
      <c r="M88">
        <f t="shared" si="1"/>
        <v>0</v>
      </c>
    </row>
    <row r="89" spans="5:13" x14ac:dyDescent="0.35">
      <c r="E89" t="e">
        <f>Executor!C92&amp;_xlfn.XLOOKUP(Executor!D92,Hidden!$B$3:$B$5,Hidden!$C$3:$C$5)</f>
        <v>#N/A</v>
      </c>
      <c r="F89">
        <f>Executor!E92</f>
        <v>0</v>
      </c>
      <c r="M89">
        <f t="shared" si="1"/>
        <v>0</v>
      </c>
    </row>
    <row r="90" spans="5:13" x14ac:dyDescent="0.35">
      <c r="E90" t="e">
        <f>Executor!C93&amp;_xlfn.XLOOKUP(Executor!D93,Hidden!$B$3:$B$5,Hidden!$C$3:$C$5)</f>
        <v>#N/A</v>
      </c>
      <c r="F90">
        <f>Executor!E93</f>
        <v>0</v>
      </c>
      <c r="M90">
        <f t="shared" si="1"/>
        <v>0</v>
      </c>
    </row>
    <row r="91" spans="5:13" x14ac:dyDescent="0.35">
      <c r="E91" t="e">
        <f>Executor!C94&amp;_xlfn.XLOOKUP(Executor!D94,Hidden!$B$3:$B$5,Hidden!$C$3:$C$5)</f>
        <v>#N/A</v>
      </c>
      <c r="F91">
        <f>Executor!E94</f>
        <v>0</v>
      </c>
      <c r="M91">
        <f t="shared" si="1"/>
        <v>0</v>
      </c>
    </row>
    <row r="92" spans="5:13" x14ac:dyDescent="0.35">
      <c r="E92" t="e">
        <f>Executor!C95&amp;_xlfn.XLOOKUP(Executor!D95,Hidden!$B$3:$B$5,Hidden!$C$3:$C$5)</f>
        <v>#N/A</v>
      </c>
      <c r="F92">
        <f>Executor!E95</f>
        <v>0</v>
      </c>
      <c r="M92">
        <f t="shared" si="1"/>
        <v>0</v>
      </c>
    </row>
    <row r="93" spans="5:13" x14ac:dyDescent="0.35">
      <c r="E93" t="e">
        <f>Executor!C96&amp;_xlfn.XLOOKUP(Executor!D96,Hidden!$B$3:$B$5,Hidden!$C$3:$C$5)</f>
        <v>#N/A</v>
      </c>
      <c r="F93">
        <f>Executor!E96</f>
        <v>0</v>
      </c>
      <c r="M93">
        <f t="shared" si="1"/>
        <v>0</v>
      </c>
    </row>
    <row r="94" spans="5:13" x14ac:dyDescent="0.35">
      <c r="E94" t="e">
        <f>Executor!C97&amp;_xlfn.XLOOKUP(Executor!D97,Hidden!$B$3:$B$5,Hidden!$C$3:$C$5)</f>
        <v>#N/A</v>
      </c>
      <c r="F94">
        <f>Executor!E97</f>
        <v>0</v>
      </c>
      <c r="M94">
        <f t="shared" si="1"/>
        <v>0</v>
      </c>
    </row>
    <row r="95" spans="5:13" x14ac:dyDescent="0.35">
      <c r="E95" t="e">
        <f>Executor!C98&amp;_xlfn.XLOOKUP(Executor!D98,Hidden!$B$3:$B$5,Hidden!$C$3:$C$5)</f>
        <v>#N/A</v>
      </c>
      <c r="F95">
        <f>Executor!E98</f>
        <v>0</v>
      </c>
      <c r="M95">
        <f t="shared" si="1"/>
        <v>0</v>
      </c>
    </row>
    <row r="96" spans="5:13" x14ac:dyDescent="0.35">
      <c r="E96" t="e">
        <f>Executor!C99&amp;_xlfn.XLOOKUP(Executor!D99,Hidden!$B$3:$B$5,Hidden!$C$3:$C$5)</f>
        <v>#N/A</v>
      </c>
      <c r="F96">
        <f>Executor!E99</f>
        <v>0</v>
      </c>
      <c r="M96">
        <f t="shared" si="1"/>
        <v>0</v>
      </c>
    </row>
    <row r="97" spans="5:13" x14ac:dyDescent="0.35">
      <c r="E97" t="e">
        <f>Executor!C100&amp;_xlfn.XLOOKUP(Executor!D100,Hidden!$B$3:$B$5,Hidden!$C$3:$C$5)</f>
        <v>#N/A</v>
      </c>
      <c r="F97">
        <f>Executor!E100</f>
        <v>0</v>
      </c>
      <c r="M97">
        <f t="shared" si="1"/>
        <v>0</v>
      </c>
    </row>
    <row r="98" spans="5:13" x14ac:dyDescent="0.35">
      <c r="E98" t="e">
        <f>Executor!C101&amp;_xlfn.XLOOKUP(Executor!D101,Hidden!$B$3:$B$5,Hidden!$C$3:$C$5)</f>
        <v>#N/A</v>
      </c>
      <c r="F98">
        <f>Executor!E101</f>
        <v>0</v>
      </c>
      <c r="M98">
        <f t="shared" si="1"/>
        <v>0</v>
      </c>
    </row>
    <row r="99" spans="5:13" x14ac:dyDescent="0.35">
      <c r="E99" t="e">
        <f>Executor!C102&amp;_xlfn.XLOOKUP(Executor!D102,Hidden!$B$3:$B$5,Hidden!$C$3:$C$5)</f>
        <v>#N/A</v>
      </c>
      <c r="F99">
        <f>Executor!E102</f>
        <v>0</v>
      </c>
      <c r="M99">
        <f t="shared" si="1"/>
        <v>0</v>
      </c>
    </row>
    <row r="100" spans="5:13" x14ac:dyDescent="0.35">
      <c r="E100" t="e">
        <f>Executor!C103&amp;_xlfn.XLOOKUP(Executor!D103,Hidden!$B$3:$B$5,Hidden!$C$3:$C$5)</f>
        <v>#N/A</v>
      </c>
      <c r="F100">
        <f>Executor!E103</f>
        <v>0</v>
      </c>
      <c r="M100">
        <f t="shared" si="1"/>
        <v>0</v>
      </c>
    </row>
    <row r="101" spans="5:13" x14ac:dyDescent="0.35">
      <c r="E101" t="e">
        <f>Executor!C104&amp;_xlfn.XLOOKUP(Executor!D104,Hidden!$B$3:$B$5,Hidden!$C$3:$C$5)</f>
        <v>#N/A</v>
      </c>
      <c r="F101">
        <f>Executor!E104</f>
        <v>0</v>
      </c>
      <c r="M101">
        <f t="shared" si="1"/>
        <v>0</v>
      </c>
    </row>
    <row r="102" spans="5:13" x14ac:dyDescent="0.35">
      <c r="E102" t="e">
        <f>Executor!C105&amp;_xlfn.XLOOKUP(Executor!D105,Hidden!$B$3:$B$5,Hidden!$C$3:$C$5)</f>
        <v>#N/A</v>
      </c>
      <c r="F102">
        <f>Executor!E105</f>
        <v>0</v>
      </c>
      <c r="M102">
        <f t="shared" si="1"/>
        <v>0</v>
      </c>
    </row>
    <row r="103" spans="5:13" x14ac:dyDescent="0.35">
      <c r="E103" t="e">
        <f>Executor!C106&amp;_xlfn.XLOOKUP(Executor!D106,Hidden!$B$3:$B$5,Hidden!$C$3:$C$5)</f>
        <v>#N/A</v>
      </c>
      <c r="F103">
        <f>Executor!E106</f>
        <v>0</v>
      </c>
      <c r="M103">
        <f t="shared" si="1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0FA88-B3EB-4D38-802D-0E117D155DA6}">
  <sheetPr codeName="Sheet2"/>
  <dimension ref="B2:P106"/>
  <sheetViews>
    <sheetView showGridLines="0" tabSelected="1" workbookViewId="0">
      <selection activeCell="K22" sqref="K22"/>
    </sheetView>
  </sheetViews>
  <sheetFormatPr defaultRowHeight="14.5" x14ac:dyDescent="0.35"/>
  <cols>
    <col min="2" max="2" width="8.36328125" customWidth="1"/>
    <col min="3" max="3" width="16.453125" customWidth="1"/>
    <col min="6" max="6" width="15.08984375" bestFit="1" customWidth="1"/>
    <col min="7" max="7" width="14.26953125" customWidth="1"/>
    <col min="15" max="15" width="18.81640625" customWidth="1"/>
  </cols>
  <sheetData>
    <row r="2" spans="2:16" x14ac:dyDescent="0.35">
      <c r="B2" s="1" t="s">
        <v>15</v>
      </c>
      <c r="C2" s="7">
        <f ca="1">NOW()</f>
        <v>45705.707888425924</v>
      </c>
    </row>
    <row r="3" spans="2:16" ht="15" thickBot="1" x14ac:dyDescent="0.4">
      <c r="B3" s="2" t="s">
        <v>0</v>
      </c>
      <c r="C3" s="3"/>
      <c r="D3" s="3"/>
    </row>
    <row r="5" spans="2:16" ht="15" thickBot="1" x14ac:dyDescent="0.4">
      <c r="B5" s="2" t="s">
        <v>13</v>
      </c>
      <c r="C5" s="6" t="s">
        <v>2</v>
      </c>
      <c r="D5" s="6" t="s">
        <v>3</v>
      </c>
      <c r="E5" s="6" t="s">
        <v>4</v>
      </c>
      <c r="G5" s="2" t="s">
        <v>14</v>
      </c>
      <c r="H5" s="6">
        <v>5</v>
      </c>
      <c r="J5" s="2" t="s">
        <v>31</v>
      </c>
      <c r="K5" s="3"/>
      <c r="L5" s="3"/>
      <c r="M5" s="3"/>
      <c r="O5" s="2" t="s">
        <v>32</v>
      </c>
      <c r="P5" s="3"/>
    </row>
    <row r="6" spans="2:16" x14ac:dyDescent="0.35">
      <c r="B6">
        <v>1</v>
      </c>
      <c r="C6" t="s">
        <v>5</v>
      </c>
      <c r="D6" t="s">
        <v>8</v>
      </c>
      <c r="E6">
        <v>1000</v>
      </c>
      <c r="O6" t="str">
        <f>IF(_xlfn.XLOOKUP(Hidden!J3,Hidden!$J$3:$J$103,Hidden!$M$3:$M$103)=0,"",_xlfn.XLOOKUP(Hidden!J3,Hidden!$J$3:$J$103,Hidden!$M$3:$M$103))</f>
        <v>Portfolio</v>
      </c>
      <c r="P6">
        <f>IF(Hidden!K3=0,"",Hidden!K3)</f>
        <v>0.17862900290085101</v>
      </c>
    </row>
    <row r="7" spans="2:16" ht="15" thickBot="1" x14ac:dyDescent="0.4">
      <c r="B7">
        <v>2</v>
      </c>
      <c r="C7" s="4" t="s">
        <v>6</v>
      </c>
      <c r="D7" t="s">
        <v>8</v>
      </c>
      <c r="E7">
        <v>2000</v>
      </c>
      <c r="G7" s="5" t="s">
        <v>16</v>
      </c>
      <c r="H7" s="6" t="s">
        <v>18</v>
      </c>
      <c r="O7" t="str">
        <f>IF(_xlfn.XLOOKUP(Hidden!J4,Hidden!$J$3:$J$103,Hidden!$M$3:$M$103)=0,"",_xlfn.XLOOKUP(Hidden!J4,Hidden!$J$3:$J$103,Hidden!$M$3:$M$103))</f>
        <v>AMZN.Adjusted</v>
      </c>
      <c r="P7">
        <f>IF(Hidden!K4=0,"",Hidden!K4)</f>
        <v>0.31528637138691701</v>
      </c>
    </row>
    <row r="8" spans="2:16" x14ac:dyDescent="0.35">
      <c r="B8">
        <v>3</v>
      </c>
      <c r="C8" s="4" t="s">
        <v>29</v>
      </c>
      <c r="D8" t="s">
        <v>8</v>
      </c>
      <c r="E8">
        <v>3000</v>
      </c>
      <c r="O8" t="str">
        <f>IF(_xlfn.XLOOKUP(Hidden!J5,Hidden!$J$3:$J$103,Hidden!$M$3:$M$103)=0,"",_xlfn.XLOOKUP(Hidden!J5,Hidden!$J$3:$J$103,Hidden!$M$3:$M$103))</f>
        <v>TSLA.Adjusted</v>
      </c>
      <c r="P8">
        <f>IF(Hidden!K5=0,"",Hidden!K5)</f>
        <v>0.51448199580183795</v>
      </c>
    </row>
    <row r="9" spans="2:16" x14ac:dyDescent="0.35">
      <c r="B9">
        <v>4</v>
      </c>
      <c r="C9" s="4" t="s">
        <v>7</v>
      </c>
      <c r="D9" t="s">
        <v>10</v>
      </c>
      <c r="E9">
        <v>4000</v>
      </c>
      <c r="O9" t="str">
        <f>IF(_xlfn.XLOOKUP(Hidden!J6,Hidden!$J$3:$J$103,Hidden!$M$3:$M$103)=0,"",_xlfn.XLOOKUP(Hidden!J6,Hidden!$J$3:$J$103,Hidden!$M$3:$M$103))</f>
        <v>NVDA.Adjusted</v>
      </c>
      <c r="P9">
        <f>IF(Hidden!K6=0,"",Hidden!K6)</f>
        <v>0.47310444260767498</v>
      </c>
    </row>
    <row r="10" spans="2:16" x14ac:dyDescent="0.35">
      <c r="B10">
        <v>5</v>
      </c>
      <c r="C10" s="4" t="s">
        <v>10</v>
      </c>
      <c r="D10" t="s">
        <v>10</v>
      </c>
      <c r="E10">
        <v>10000</v>
      </c>
      <c r="O10" t="str">
        <f>IF(_xlfn.XLOOKUP(Hidden!J7,Hidden!$J$3:$J$103,Hidden!$M$3:$M$103)=0,"",_xlfn.XLOOKUP(Hidden!J7,Hidden!$J$3:$J$103,Hidden!$M$3:$M$103))</f>
        <v>CBA.AX.Adjusted</v>
      </c>
      <c r="P10">
        <f>IF(Hidden!K7=0,"",Hidden!K7)</f>
        <v>0.17125974241390701</v>
      </c>
    </row>
    <row r="11" spans="2:16" x14ac:dyDescent="0.35">
      <c r="O11" t="str">
        <f>IF(_xlfn.XLOOKUP(Hidden!J8,Hidden!$J$3:$J$103,Hidden!$M$3:$M$103)=0,"",_xlfn.XLOOKUP(Hidden!J8,Hidden!$J$3:$J$103,Hidden!$M$3:$M$103))</f>
        <v>ASX.AX.Adjusted</v>
      </c>
      <c r="P11">
        <f>IF(Hidden!K8=0,"",Hidden!K8)</f>
        <v>0.17895334805048899</v>
      </c>
    </row>
    <row r="12" spans="2:16" x14ac:dyDescent="0.35">
      <c r="O12" t="str">
        <f>IF(_xlfn.XLOOKUP(Hidden!J9,Hidden!$J$3:$J$103,Hidden!$M$3:$M$103)=0,"",_xlfn.XLOOKUP(Hidden!J9,Hidden!$J$3:$J$103,Hidden!$M$3:$M$103))</f>
        <v/>
      </c>
      <c r="P12" t="str">
        <f>IF(Hidden!K9=0,"",Hidden!K9)</f>
        <v/>
      </c>
    </row>
    <row r="13" spans="2:16" x14ac:dyDescent="0.35">
      <c r="O13" t="str">
        <f>IF(_xlfn.XLOOKUP(Hidden!J10,Hidden!$J$3:$J$103,Hidden!$M$3:$M$103)=0,"",_xlfn.XLOOKUP(Hidden!J10,Hidden!$J$3:$J$103,Hidden!$M$3:$M$103))</f>
        <v/>
      </c>
      <c r="P13" t="str">
        <f>IF(Hidden!K10=0,"",Hidden!K10)</f>
        <v/>
      </c>
    </row>
    <row r="14" spans="2:16" x14ac:dyDescent="0.35">
      <c r="O14" t="str">
        <f>IF(_xlfn.XLOOKUP(Hidden!J11,Hidden!$J$3:$J$103,Hidden!$M$3:$M$103)=0,"",_xlfn.XLOOKUP(Hidden!J11,Hidden!$J$3:$J$103,Hidden!$M$3:$M$103))</f>
        <v/>
      </c>
      <c r="P14" t="str">
        <f>IF(Hidden!K11=0,"",Hidden!K11)</f>
        <v/>
      </c>
    </row>
    <row r="15" spans="2:16" x14ac:dyDescent="0.35">
      <c r="O15" t="str">
        <f>IF(_xlfn.XLOOKUP(Hidden!J12,Hidden!$J$3:$J$103,Hidden!$M$3:$M$103)=0,"",_xlfn.XLOOKUP(Hidden!J12,Hidden!$J$3:$J$103,Hidden!$M$3:$M$103))</f>
        <v/>
      </c>
      <c r="P15" t="str">
        <f>IF(Hidden!K12=0,"",Hidden!K12)</f>
        <v/>
      </c>
    </row>
    <row r="16" spans="2:16" x14ac:dyDescent="0.35">
      <c r="O16" t="str">
        <f>IF(_xlfn.XLOOKUP(Hidden!J13,Hidden!$J$3:$J$103,Hidden!$M$3:$M$103)=0,"",_xlfn.XLOOKUP(Hidden!J13,Hidden!$J$3:$J$103,Hidden!$M$3:$M$103))</f>
        <v/>
      </c>
      <c r="P16" t="str">
        <f>IF(Hidden!K13=0,"",Hidden!K13)</f>
        <v/>
      </c>
    </row>
    <row r="17" spans="15:16" x14ac:dyDescent="0.35">
      <c r="O17" t="str">
        <f>IF(_xlfn.XLOOKUP(Hidden!J14,Hidden!$J$3:$J$103,Hidden!$M$3:$M$103)=0,"",_xlfn.XLOOKUP(Hidden!J14,Hidden!$J$3:$J$103,Hidden!$M$3:$M$103))</f>
        <v/>
      </c>
      <c r="P17" t="str">
        <f>IF(Hidden!K14=0,"",Hidden!K14)</f>
        <v/>
      </c>
    </row>
    <row r="18" spans="15:16" x14ac:dyDescent="0.35">
      <c r="O18" t="str">
        <f>IF(_xlfn.XLOOKUP(Hidden!J15,Hidden!$J$3:$J$103,Hidden!$M$3:$M$103)=0,"",_xlfn.XLOOKUP(Hidden!J15,Hidden!$J$3:$J$103,Hidden!$M$3:$M$103))</f>
        <v/>
      </c>
      <c r="P18" t="str">
        <f>IF(Hidden!K15=0,"",Hidden!K15)</f>
        <v/>
      </c>
    </row>
    <row r="19" spans="15:16" x14ac:dyDescent="0.35">
      <c r="O19" t="str">
        <f>IF(_xlfn.XLOOKUP(Hidden!J16,Hidden!$J$3:$J$103,Hidden!$M$3:$M$103)=0,"",_xlfn.XLOOKUP(Hidden!J16,Hidden!$J$3:$J$103,Hidden!$M$3:$M$103))</f>
        <v/>
      </c>
      <c r="P19" t="str">
        <f>IF(Hidden!K16=0,"",Hidden!K16)</f>
        <v/>
      </c>
    </row>
    <row r="20" spans="15:16" x14ac:dyDescent="0.35">
      <c r="O20" t="str">
        <f>IF(_xlfn.XLOOKUP(Hidden!J17,Hidden!$J$3:$J$103,Hidden!$M$3:$M$103)=0,"",_xlfn.XLOOKUP(Hidden!J17,Hidden!$J$3:$J$103,Hidden!$M$3:$M$103))</f>
        <v/>
      </c>
      <c r="P20" t="str">
        <f>IF(Hidden!K17=0,"",Hidden!K17)</f>
        <v/>
      </c>
    </row>
    <row r="21" spans="15:16" x14ac:dyDescent="0.35">
      <c r="O21" t="str">
        <f>IF(_xlfn.XLOOKUP(Hidden!J18,Hidden!$J$3:$J$103,Hidden!$M$3:$M$103)=0,"",_xlfn.XLOOKUP(Hidden!J18,Hidden!$J$3:$J$103,Hidden!$M$3:$M$103))</f>
        <v/>
      </c>
      <c r="P21" t="str">
        <f>IF(Hidden!K18=0,"",Hidden!K18)</f>
        <v/>
      </c>
    </row>
    <row r="22" spans="15:16" x14ac:dyDescent="0.35">
      <c r="O22" t="str">
        <f>IF(_xlfn.XLOOKUP(Hidden!J19,Hidden!$J$3:$J$103,Hidden!$M$3:$M$103)=0,"",_xlfn.XLOOKUP(Hidden!J19,Hidden!$J$3:$J$103,Hidden!$M$3:$M$103))</f>
        <v/>
      </c>
      <c r="P22" t="str">
        <f>IF(Hidden!K19=0,"",Hidden!K19)</f>
        <v/>
      </c>
    </row>
    <row r="23" spans="15:16" x14ac:dyDescent="0.35">
      <c r="O23" t="str">
        <f>IF(_xlfn.XLOOKUP(Hidden!J20,Hidden!$J$3:$J$103,Hidden!$M$3:$M$103)=0,"",_xlfn.XLOOKUP(Hidden!J20,Hidden!$J$3:$J$103,Hidden!$M$3:$M$103))</f>
        <v/>
      </c>
      <c r="P23" t="str">
        <f>IF(Hidden!K20=0,"",Hidden!K20)</f>
        <v/>
      </c>
    </row>
    <row r="24" spans="15:16" x14ac:dyDescent="0.35">
      <c r="O24" t="str">
        <f>IF(_xlfn.XLOOKUP(Hidden!J21,Hidden!$J$3:$J$103,Hidden!$M$3:$M$103)=0,"",_xlfn.XLOOKUP(Hidden!J21,Hidden!$J$3:$J$103,Hidden!$M$3:$M$103))</f>
        <v/>
      </c>
      <c r="P24" t="str">
        <f>IF(Hidden!K21=0,"",Hidden!K21)</f>
        <v/>
      </c>
    </row>
    <row r="25" spans="15:16" x14ac:dyDescent="0.35">
      <c r="O25" t="str">
        <f>IF(_xlfn.XLOOKUP(Hidden!J22,Hidden!$J$3:$J$103,Hidden!$M$3:$M$103)=0,"",_xlfn.XLOOKUP(Hidden!J22,Hidden!$J$3:$J$103,Hidden!$M$3:$M$103))</f>
        <v/>
      </c>
      <c r="P25" t="str">
        <f>IF(Hidden!K22=0,"",Hidden!K22)</f>
        <v/>
      </c>
    </row>
    <row r="26" spans="15:16" x14ac:dyDescent="0.35">
      <c r="O26" t="str">
        <f>IF(_xlfn.XLOOKUP(Hidden!J23,Hidden!$J$3:$J$103,Hidden!$M$3:$M$103)=0,"",_xlfn.XLOOKUP(Hidden!J23,Hidden!$J$3:$J$103,Hidden!$M$3:$M$103))</f>
        <v/>
      </c>
      <c r="P26" t="str">
        <f>IF(Hidden!K23=0,"",Hidden!K23)</f>
        <v/>
      </c>
    </row>
    <row r="27" spans="15:16" x14ac:dyDescent="0.35">
      <c r="O27" t="str">
        <f>IF(_xlfn.XLOOKUP(Hidden!J24,Hidden!$J$3:$J$103,Hidden!$M$3:$M$103)=0,"",_xlfn.XLOOKUP(Hidden!J24,Hidden!$J$3:$J$103,Hidden!$M$3:$M$103))</f>
        <v/>
      </c>
      <c r="P27" t="str">
        <f>IF(Hidden!K24=0,"",Hidden!K24)</f>
        <v/>
      </c>
    </row>
    <row r="28" spans="15:16" x14ac:dyDescent="0.35">
      <c r="O28" t="str">
        <f>IF(_xlfn.XLOOKUP(Hidden!J25,Hidden!$J$3:$J$103,Hidden!$M$3:$M$103)=0,"",_xlfn.XLOOKUP(Hidden!J25,Hidden!$J$3:$J$103,Hidden!$M$3:$M$103))</f>
        <v/>
      </c>
      <c r="P28" t="str">
        <f>IF(Hidden!K25=0,"",Hidden!K25)</f>
        <v/>
      </c>
    </row>
    <row r="29" spans="15:16" x14ac:dyDescent="0.35">
      <c r="O29" t="str">
        <f>IF(_xlfn.XLOOKUP(Hidden!J26,Hidden!$J$3:$J$103,Hidden!$M$3:$M$103)=0,"",_xlfn.XLOOKUP(Hidden!J26,Hidden!$J$3:$J$103,Hidden!$M$3:$M$103))</f>
        <v/>
      </c>
      <c r="P29" t="str">
        <f>IF(Hidden!K26=0,"",Hidden!K26)</f>
        <v/>
      </c>
    </row>
    <row r="30" spans="15:16" x14ac:dyDescent="0.35">
      <c r="O30" t="str">
        <f>IF(_xlfn.XLOOKUP(Hidden!J27,Hidden!$J$3:$J$103,Hidden!$M$3:$M$103)=0,"",_xlfn.XLOOKUP(Hidden!J27,Hidden!$J$3:$J$103,Hidden!$M$3:$M$103))</f>
        <v/>
      </c>
      <c r="P30" t="str">
        <f>IF(Hidden!K27=0,"",Hidden!K27)</f>
        <v/>
      </c>
    </row>
    <row r="31" spans="15:16" x14ac:dyDescent="0.35">
      <c r="O31" t="str">
        <f>IF(_xlfn.XLOOKUP(Hidden!J28,Hidden!$J$3:$J$103,Hidden!$M$3:$M$103)=0,"",_xlfn.XLOOKUP(Hidden!J28,Hidden!$J$3:$J$103,Hidden!$M$3:$M$103))</f>
        <v/>
      </c>
      <c r="P31" t="str">
        <f>IF(Hidden!K28=0,"",Hidden!K28)</f>
        <v/>
      </c>
    </row>
    <row r="32" spans="15:16" x14ac:dyDescent="0.35">
      <c r="O32" t="str">
        <f>IF(_xlfn.XLOOKUP(Hidden!J29,Hidden!$J$3:$J$103,Hidden!$M$3:$M$103)=0,"",_xlfn.XLOOKUP(Hidden!J29,Hidden!$J$3:$J$103,Hidden!$M$3:$M$103))</f>
        <v/>
      </c>
      <c r="P32" t="str">
        <f>IF(Hidden!K29=0,"",Hidden!K29)</f>
        <v/>
      </c>
    </row>
    <row r="33" spans="15:16" x14ac:dyDescent="0.35">
      <c r="O33" t="str">
        <f>IF(_xlfn.XLOOKUP(Hidden!J30,Hidden!$J$3:$J$103,Hidden!$M$3:$M$103)=0,"",_xlfn.XLOOKUP(Hidden!J30,Hidden!$J$3:$J$103,Hidden!$M$3:$M$103))</f>
        <v/>
      </c>
      <c r="P33" t="str">
        <f>IF(Hidden!K30=0,"",Hidden!K30)</f>
        <v/>
      </c>
    </row>
    <row r="34" spans="15:16" x14ac:dyDescent="0.35">
      <c r="O34" t="str">
        <f>IF(_xlfn.XLOOKUP(Hidden!J31,Hidden!$J$3:$J$103,Hidden!$M$3:$M$103)=0,"",_xlfn.XLOOKUP(Hidden!J31,Hidden!$J$3:$J$103,Hidden!$M$3:$M$103))</f>
        <v/>
      </c>
      <c r="P34" t="str">
        <f>IF(Hidden!K31=0,"",Hidden!K31)</f>
        <v/>
      </c>
    </row>
    <row r="35" spans="15:16" x14ac:dyDescent="0.35">
      <c r="O35" t="str">
        <f>IF(_xlfn.XLOOKUP(Hidden!J32,Hidden!$J$3:$J$103,Hidden!$M$3:$M$103)=0,"",_xlfn.XLOOKUP(Hidden!J32,Hidden!$J$3:$J$103,Hidden!$M$3:$M$103))</f>
        <v/>
      </c>
      <c r="P35" t="str">
        <f>IF(Hidden!K32=0,"",Hidden!K32)</f>
        <v/>
      </c>
    </row>
    <row r="36" spans="15:16" x14ac:dyDescent="0.35">
      <c r="O36" t="str">
        <f>IF(_xlfn.XLOOKUP(Hidden!J33,Hidden!$J$3:$J$103,Hidden!$M$3:$M$103)=0,"",_xlfn.XLOOKUP(Hidden!J33,Hidden!$J$3:$J$103,Hidden!$M$3:$M$103))</f>
        <v/>
      </c>
      <c r="P36" t="str">
        <f>IF(Hidden!K33=0,"",Hidden!K33)</f>
        <v/>
      </c>
    </row>
    <row r="37" spans="15:16" x14ac:dyDescent="0.35">
      <c r="O37" t="str">
        <f>IF(_xlfn.XLOOKUP(Hidden!J34,Hidden!$J$3:$J$103,Hidden!$M$3:$M$103)=0,"",_xlfn.XLOOKUP(Hidden!J34,Hidden!$J$3:$J$103,Hidden!$M$3:$M$103))</f>
        <v/>
      </c>
      <c r="P37" t="str">
        <f>IF(Hidden!K34=0,"",Hidden!K34)</f>
        <v/>
      </c>
    </row>
    <row r="38" spans="15:16" x14ac:dyDescent="0.35">
      <c r="O38" t="str">
        <f>IF(_xlfn.XLOOKUP(Hidden!J35,Hidden!$J$3:$J$103,Hidden!$M$3:$M$103)=0,"",_xlfn.XLOOKUP(Hidden!J35,Hidden!$J$3:$J$103,Hidden!$M$3:$M$103))</f>
        <v/>
      </c>
      <c r="P38" t="str">
        <f>IF(Hidden!K35=0,"",Hidden!K35)</f>
        <v/>
      </c>
    </row>
    <row r="39" spans="15:16" x14ac:dyDescent="0.35">
      <c r="O39" t="str">
        <f>IF(_xlfn.XLOOKUP(Hidden!J36,Hidden!$J$3:$J$103,Hidden!$M$3:$M$103)=0,"",_xlfn.XLOOKUP(Hidden!J36,Hidden!$J$3:$J$103,Hidden!$M$3:$M$103))</f>
        <v/>
      </c>
      <c r="P39" t="str">
        <f>IF(Hidden!K36=0,"",Hidden!K36)</f>
        <v/>
      </c>
    </row>
    <row r="40" spans="15:16" x14ac:dyDescent="0.35">
      <c r="O40" t="str">
        <f>IF(_xlfn.XLOOKUP(Hidden!J37,Hidden!$J$3:$J$103,Hidden!$M$3:$M$103)=0,"",_xlfn.XLOOKUP(Hidden!J37,Hidden!$J$3:$J$103,Hidden!$M$3:$M$103))</f>
        <v/>
      </c>
      <c r="P40" t="str">
        <f>IF(Hidden!K37=0,"",Hidden!K37)</f>
        <v/>
      </c>
    </row>
    <row r="41" spans="15:16" x14ac:dyDescent="0.35">
      <c r="O41" t="str">
        <f>IF(_xlfn.XLOOKUP(Hidden!J38,Hidden!$J$3:$J$103,Hidden!$M$3:$M$103)=0,"",_xlfn.XLOOKUP(Hidden!J38,Hidden!$J$3:$J$103,Hidden!$M$3:$M$103))</f>
        <v/>
      </c>
      <c r="P41" t="str">
        <f>IF(Hidden!K38=0,"",Hidden!K38)</f>
        <v/>
      </c>
    </row>
    <row r="42" spans="15:16" x14ac:dyDescent="0.35">
      <c r="O42" t="str">
        <f>IF(_xlfn.XLOOKUP(Hidden!J39,Hidden!$J$3:$J$103,Hidden!$M$3:$M$103)=0,"",_xlfn.XLOOKUP(Hidden!J39,Hidden!$J$3:$J$103,Hidden!$M$3:$M$103))</f>
        <v/>
      </c>
      <c r="P42" t="str">
        <f>IF(Hidden!K39=0,"",Hidden!K39)</f>
        <v/>
      </c>
    </row>
    <row r="43" spans="15:16" x14ac:dyDescent="0.35">
      <c r="O43" t="str">
        <f>IF(_xlfn.XLOOKUP(Hidden!J40,Hidden!$J$3:$J$103,Hidden!$M$3:$M$103)=0,"",_xlfn.XLOOKUP(Hidden!J40,Hidden!$J$3:$J$103,Hidden!$M$3:$M$103))</f>
        <v/>
      </c>
      <c r="P43" t="str">
        <f>IF(Hidden!K40=0,"",Hidden!K40)</f>
        <v/>
      </c>
    </row>
    <row r="44" spans="15:16" x14ac:dyDescent="0.35">
      <c r="O44" t="str">
        <f>IF(_xlfn.XLOOKUP(Hidden!J41,Hidden!$J$3:$J$103,Hidden!$M$3:$M$103)=0,"",_xlfn.XLOOKUP(Hidden!J41,Hidden!$J$3:$J$103,Hidden!$M$3:$M$103))</f>
        <v/>
      </c>
      <c r="P44" t="str">
        <f>IF(Hidden!K41=0,"",Hidden!K41)</f>
        <v/>
      </c>
    </row>
    <row r="45" spans="15:16" x14ac:dyDescent="0.35">
      <c r="O45" t="str">
        <f>IF(_xlfn.XLOOKUP(Hidden!J42,Hidden!$J$3:$J$103,Hidden!$M$3:$M$103)=0,"",_xlfn.XLOOKUP(Hidden!J42,Hidden!$J$3:$J$103,Hidden!$M$3:$M$103))</f>
        <v/>
      </c>
      <c r="P45" t="str">
        <f>IF(Hidden!K42=0,"",Hidden!K42)</f>
        <v/>
      </c>
    </row>
    <row r="46" spans="15:16" x14ac:dyDescent="0.35">
      <c r="O46" t="str">
        <f>IF(_xlfn.XLOOKUP(Hidden!J43,Hidden!$J$3:$J$103,Hidden!$M$3:$M$103)=0,"",_xlfn.XLOOKUP(Hidden!J43,Hidden!$J$3:$J$103,Hidden!$M$3:$M$103))</f>
        <v/>
      </c>
      <c r="P46" t="str">
        <f>IF(Hidden!K43=0,"",Hidden!K43)</f>
        <v/>
      </c>
    </row>
    <row r="47" spans="15:16" x14ac:dyDescent="0.35">
      <c r="O47" t="str">
        <f>IF(_xlfn.XLOOKUP(Hidden!J44,Hidden!$J$3:$J$103,Hidden!$M$3:$M$103)=0,"",_xlfn.XLOOKUP(Hidden!J44,Hidden!$J$3:$J$103,Hidden!$M$3:$M$103))</f>
        <v/>
      </c>
      <c r="P47" t="str">
        <f>IF(Hidden!K44=0,"",Hidden!K44)</f>
        <v/>
      </c>
    </row>
    <row r="48" spans="15:16" x14ac:dyDescent="0.35">
      <c r="O48" t="str">
        <f>IF(_xlfn.XLOOKUP(Hidden!J45,Hidden!$J$3:$J$103,Hidden!$M$3:$M$103)=0,"",_xlfn.XLOOKUP(Hidden!J45,Hidden!$J$3:$J$103,Hidden!$M$3:$M$103))</f>
        <v/>
      </c>
      <c r="P48" t="str">
        <f>IF(Hidden!K45=0,"",Hidden!K45)</f>
        <v/>
      </c>
    </row>
    <row r="49" spans="15:16" x14ac:dyDescent="0.35">
      <c r="O49" t="str">
        <f>IF(_xlfn.XLOOKUP(Hidden!J46,Hidden!$J$3:$J$103,Hidden!$M$3:$M$103)=0,"",_xlfn.XLOOKUP(Hidden!J46,Hidden!$J$3:$J$103,Hidden!$M$3:$M$103))</f>
        <v/>
      </c>
      <c r="P49" t="str">
        <f>IF(Hidden!K46=0,"",Hidden!K46)</f>
        <v/>
      </c>
    </row>
    <row r="50" spans="15:16" x14ac:dyDescent="0.35">
      <c r="O50" t="str">
        <f>IF(_xlfn.XLOOKUP(Hidden!J47,Hidden!$J$3:$J$103,Hidden!$M$3:$M$103)=0,"",_xlfn.XLOOKUP(Hidden!J47,Hidden!$J$3:$J$103,Hidden!$M$3:$M$103))</f>
        <v/>
      </c>
      <c r="P50" t="str">
        <f>IF(Hidden!K47=0,"",Hidden!K47)</f>
        <v/>
      </c>
    </row>
    <row r="51" spans="15:16" x14ac:dyDescent="0.35">
      <c r="O51" t="str">
        <f>IF(_xlfn.XLOOKUP(Hidden!J48,Hidden!$J$3:$J$103,Hidden!$M$3:$M$103)=0,"",_xlfn.XLOOKUP(Hidden!J48,Hidden!$J$3:$J$103,Hidden!$M$3:$M$103))</f>
        <v/>
      </c>
      <c r="P51" t="str">
        <f>IF(Hidden!K48=0,"",Hidden!K48)</f>
        <v/>
      </c>
    </row>
    <row r="52" spans="15:16" x14ac:dyDescent="0.35">
      <c r="O52" t="str">
        <f>IF(_xlfn.XLOOKUP(Hidden!J49,Hidden!$J$3:$J$103,Hidden!$M$3:$M$103)=0,"",_xlfn.XLOOKUP(Hidden!J49,Hidden!$J$3:$J$103,Hidden!$M$3:$M$103))</f>
        <v/>
      </c>
      <c r="P52" t="str">
        <f>IF(Hidden!K49=0,"",Hidden!K49)</f>
        <v/>
      </c>
    </row>
    <row r="53" spans="15:16" x14ac:dyDescent="0.35">
      <c r="O53" t="str">
        <f>IF(_xlfn.XLOOKUP(Hidden!J50,Hidden!$J$3:$J$103,Hidden!$M$3:$M$103)=0,"",_xlfn.XLOOKUP(Hidden!J50,Hidden!$J$3:$J$103,Hidden!$M$3:$M$103))</f>
        <v/>
      </c>
      <c r="P53" t="str">
        <f>IF(Hidden!K50=0,"",Hidden!K50)</f>
        <v/>
      </c>
    </row>
    <row r="54" spans="15:16" x14ac:dyDescent="0.35">
      <c r="O54" t="str">
        <f>IF(_xlfn.XLOOKUP(Hidden!J51,Hidden!$J$3:$J$103,Hidden!$M$3:$M$103)=0,"",_xlfn.XLOOKUP(Hidden!J51,Hidden!$J$3:$J$103,Hidden!$M$3:$M$103))</f>
        <v/>
      </c>
      <c r="P54" t="str">
        <f>IF(Hidden!K51=0,"",Hidden!K51)</f>
        <v/>
      </c>
    </row>
    <row r="55" spans="15:16" x14ac:dyDescent="0.35">
      <c r="O55" t="str">
        <f>IF(_xlfn.XLOOKUP(Hidden!J52,Hidden!$J$3:$J$103,Hidden!$M$3:$M$103)=0,"",_xlfn.XLOOKUP(Hidden!J52,Hidden!$J$3:$J$103,Hidden!$M$3:$M$103))</f>
        <v/>
      </c>
      <c r="P55" t="str">
        <f>IF(Hidden!K52=0,"",Hidden!K52)</f>
        <v/>
      </c>
    </row>
    <row r="56" spans="15:16" x14ac:dyDescent="0.35">
      <c r="O56" t="str">
        <f>IF(_xlfn.XLOOKUP(Hidden!J53,Hidden!$J$3:$J$103,Hidden!$M$3:$M$103)=0,"",_xlfn.XLOOKUP(Hidden!J53,Hidden!$J$3:$J$103,Hidden!$M$3:$M$103))</f>
        <v/>
      </c>
      <c r="P56" t="str">
        <f>IF(Hidden!K53=0,"",Hidden!K53)</f>
        <v/>
      </c>
    </row>
    <row r="57" spans="15:16" x14ac:dyDescent="0.35">
      <c r="O57" t="str">
        <f>IF(_xlfn.XLOOKUP(Hidden!J54,Hidden!$J$3:$J$103,Hidden!$M$3:$M$103)=0,"",_xlfn.XLOOKUP(Hidden!J54,Hidden!$J$3:$J$103,Hidden!$M$3:$M$103))</f>
        <v/>
      </c>
      <c r="P57" t="str">
        <f>IF(Hidden!K54=0,"",Hidden!K54)</f>
        <v/>
      </c>
    </row>
    <row r="58" spans="15:16" x14ac:dyDescent="0.35">
      <c r="O58" t="str">
        <f>IF(_xlfn.XLOOKUP(Hidden!J55,Hidden!$J$3:$J$103,Hidden!$M$3:$M$103)=0,"",_xlfn.XLOOKUP(Hidden!J55,Hidden!$J$3:$J$103,Hidden!$M$3:$M$103))</f>
        <v/>
      </c>
      <c r="P58" t="str">
        <f>IF(Hidden!K55=0,"",Hidden!K55)</f>
        <v/>
      </c>
    </row>
    <row r="59" spans="15:16" x14ac:dyDescent="0.35">
      <c r="O59" t="str">
        <f>IF(_xlfn.XLOOKUP(Hidden!J56,Hidden!$J$3:$J$103,Hidden!$M$3:$M$103)=0,"",_xlfn.XLOOKUP(Hidden!J56,Hidden!$J$3:$J$103,Hidden!$M$3:$M$103))</f>
        <v/>
      </c>
      <c r="P59" t="str">
        <f>IF(Hidden!K56=0,"",Hidden!K56)</f>
        <v/>
      </c>
    </row>
    <row r="60" spans="15:16" x14ac:dyDescent="0.35">
      <c r="O60" t="str">
        <f>IF(_xlfn.XLOOKUP(Hidden!J57,Hidden!$J$3:$J$103,Hidden!$M$3:$M$103)=0,"",_xlfn.XLOOKUP(Hidden!J57,Hidden!$J$3:$J$103,Hidden!$M$3:$M$103))</f>
        <v/>
      </c>
      <c r="P60" t="str">
        <f>IF(Hidden!K57=0,"",Hidden!K57)</f>
        <v/>
      </c>
    </row>
    <row r="61" spans="15:16" x14ac:dyDescent="0.35">
      <c r="O61" t="str">
        <f>IF(_xlfn.XLOOKUP(Hidden!J58,Hidden!$J$3:$J$103,Hidden!$M$3:$M$103)=0,"",_xlfn.XLOOKUP(Hidden!J58,Hidden!$J$3:$J$103,Hidden!$M$3:$M$103))</f>
        <v/>
      </c>
      <c r="P61" t="str">
        <f>IF(Hidden!K58=0,"",Hidden!K58)</f>
        <v/>
      </c>
    </row>
    <row r="62" spans="15:16" x14ac:dyDescent="0.35">
      <c r="O62" t="str">
        <f>IF(_xlfn.XLOOKUP(Hidden!J59,Hidden!$J$3:$J$103,Hidden!$M$3:$M$103)=0,"",_xlfn.XLOOKUP(Hidden!J59,Hidden!$J$3:$J$103,Hidden!$M$3:$M$103))</f>
        <v/>
      </c>
      <c r="P62" t="str">
        <f>IF(Hidden!K59=0,"",Hidden!K59)</f>
        <v/>
      </c>
    </row>
    <row r="63" spans="15:16" x14ac:dyDescent="0.35">
      <c r="O63" t="str">
        <f>IF(_xlfn.XLOOKUP(Hidden!J60,Hidden!$J$3:$J$103,Hidden!$M$3:$M$103)=0,"",_xlfn.XLOOKUP(Hidden!J60,Hidden!$J$3:$J$103,Hidden!$M$3:$M$103))</f>
        <v/>
      </c>
      <c r="P63" t="str">
        <f>IF(Hidden!K60=0,"",Hidden!K60)</f>
        <v/>
      </c>
    </row>
    <row r="64" spans="15:16" x14ac:dyDescent="0.35">
      <c r="O64" t="str">
        <f>IF(_xlfn.XLOOKUP(Hidden!J61,Hidden!$J$3:$J$103,Hidden!$M$3:$M$103)=0,"",_xlfn.XLOOKUP(Hidden!J61,Hidden!$J$3:$J$103,Hidden!$M$3:$M$103))</f>
        <v/>
      </c>
      <c r="P64" t="str">
        <f>IF(Hidden!K61=0,"",Hidden!K61)</f>
        <v/>
      </c>
    </row>
    <row r="65" spans="15:16" x14ac:dyDescent="0.35">
      <c r="O65" t="str">
        <f>IF(_xlfn.XLOOKUP(Hidden!J62,Hidden!$J$3:$J$103,Hidden!$M$3:$M$103)=0,"",_xlfn.XLOOKUP(Hidden!J62,Hidden!$J$3:$J$103,Hidden!$M$3:$M$103))</f>
        <v/>
      </c>
      <c r="P65" t="str">
        <f>IF(Hidden!K62=0,"",Hidden!K62)</f>
        <v/>
      </c>
    </row>
    <row r="66" spans="15:16" x14ac:dyDescent="0.35">
      <c r="O66" t="str">
        <f>IF(_xlfn.XLOOKUP(Hidden!J63,Hidden!$J$3:$J$103,Hidden!$M$3:$M$103)=0,"",_xlfn.XLOOKUP(Hidden!J63,Hidden!$J$3:$J$103,Hidden!$M$3:$M$103))</f>
        <v/>
      </c>
      <c r="P66" t="str">
        <f>IF(Hidden!K63=0,"",Hidden!K63)</f>
        <v/>
      </c>
    </row>
    <row r="67" spans="15:16" x14ac:dyDescent="0.35">
      <c r="O67" t="str">
        <f>IF(_xlfn.XLOOKUP(Hidden!J64,Hidden!$J$3:$J$103,Hidden!$M$3:$M$103)=0,"",_xlfn.XLOOKUP(Hidden!J64,Hidden!$J$3:$J$103,Hidden!$M$3:$M$103))</f>
        <v/>
      </c>
      <c r="P67" t="str">
        <f>IF(Hidden!K64=0,"",Hidden!K64)</f>
        <v/>
      </c>
    </row>
    <row r="68" spans="15:16" x14ac:dyDescent="0.35">
      <c r="O68" t="str">
        <f>IF(_xlfn.XLOOKUP(Hidden!J65,Hidden!$J$3:$J$103,Hidden!$M$3:$M$103)=0,"",_xlfn.XLOOKUP(Hidden!J65,Hidden!$J$3:$J$103,Hidden!$M$3:$M$103))</f>
        <v/>
      </c>
      <c r="P68" t="str">
        <f>IF(Hidden!K65=0,"",Hidden!K65)</f>
        <v/>
      </c>
    </row>
    <row r="69" spans="15:16" x14ac:dyDescent="0.35">
      <c r="O69" t="str">
        <f>IF(_xlfn.XLOOKUP(Hidden!J66,Hidden!$J$3:$J$103,Hidden!$M$3:$M$103)=0,"",_xlfn.XLOOKUP(Hidden!J66,Hidden!$J$3:$J$103,Hidden!$M$3:$M$103))</f>
        <v/>
      </c>
      <c r="P69" t="str">
        <f>IF(Hidden!K66=0,"",Hidden!K66)</f>
        <v/>
      </c>
    </row>
    <row r="70" spans="15:16" x14ac:dyDescent="0.35">
      <c r="O70" t="str">
        <f>IF(_xlfn.XLOOKUP(Hidden!J67,Hidden!$J$3:$J$103,Hidden!$M$3:$M$103)=0,"",_xlfn.XLOOKUP(Hidden!J67,Hidden!$J$3:$J$103,Hidden!$M$3:$M$103))</f>
        <v/>
      </c>
      <c r="P70" t="str">
        <f>IF(Hidden!K67=0,"",Hidden!K67)</f>
        <v/>
      </c>
    </row>
    <row r="71" spans="15:16" x14ac:dyDescent="0.35">
      <c r="O71" t="str">
        <f>IF(_xlfn.XLOOKUP(Hidden!J68,Hidden!$J$3:$J$103,Hidden!$M$3:$M$103)=0,"",_xlfn.XLOOKUP(Hidden!J68,Hidden!$J$3:$J$103,Hidden!$M$3:$M$103))</f>
        <v/>
      </c>
      <c r="P71" t="str">
        <f>IF(Hidden!K68=0,"",Hidden!K68)</f>
        <v/>
      </c>
    </row>
    <row r="72" spans="15:16" x14ac:dyDescent="0.35">
      <c r="O72" t="str">
        <f>IF(_xlfn.XLOOKUP(Hidden!J69,Hidden!$J$3:$J$103,Hidden!$M$3:$M$103)=0,"",_xlfn.XLOOKUP(Hidden!J69,Hidden!$J$3:$J$103,Hidden!$M$3:$M$103))</f>
        <v/>
      </c>
      <c r="P72" t="str">
        <f>IF(Hidden!K69=0,"",Hidden!K69)</f>
        <v/>
      </c>
    </row>
    <row r="73" spans="15:16" x14ac:dyDescent="0.35">
      <c r="O73" t="str">
        <f>IF(_xlfn.XLOOKUP(Hidden!J70,Hidden!$J$3:$J$103,Hidden!$M$3:$M$103)=0,"",_xlfn.XLOOKUP(Hidden!J70,Hidden!$J$3:$J$103,Hidden!$M$3:$M$103))</f>
        <v/>
      </c>
      <c r="P73" t="str">
        <f>IF(Hidden!K70=0,"",Hidden!K70)</f>
        <v/>
      </c>
    </row>
    <row r="74" spans="15:16" x14ac:dyDescent="0.35">
      <c r="O74" t="str">
        <f>IF(_xlfn.XLOOKUP(Hidden!J71,Hidden!$J$3:$J$103,Hidden!$M$3:$M$103)=0,"",_xlfn.XLOOKUP(Hidden!J71,Hidden!$J$3:$J$103,Hidden!$M$3:$M$103))</f>
        <v/>
      </c>
      <c r="P74" t="str">
        <f>IF(Hidden!K71=0,"",Hidden!K71)</f>
        <v/>
      </c>
    </row>
    <row r="75" spans="15:16" x14ac:dyDescent="0.35">
      <c r="O75" t="str">
        <f>IF(_xlfn.XLOOKUP(Hidden!J72,Hidden!$J$3:$J$103,Hidden!$M$3:$M$103)=0,"",_xlfn.XLOOKUP(Hidden!J72,Hidden!$J$3:$J$103,Hidden!$M$3:$M$103))</f>
        <v/>
      </c>
      <c r="P75" t="str">
        <f>IF(Hidden!K72=0,"",Hidden!K72)</f>
        <v/>
      </c>
    </row>
    <row r="76" spans="15:16" x14ac:dyDescent="0.35">
      <c r="O76" t="str">
        <f>IF(_xlfn.XLOOKUP(Hidden!J73,Hidden!$J$3:$J$103,Hidden!$M$3:$M$103)=0,"",_xlfn.XLOOKUP(Hidden!J73,Hidden!$J$3:$J$103,Hidden!$M$3:$M$103))</f>
        <v/>
      </c>
      <c r="P76" t="str">
        <f>IF(Hidden!K73=0,"",Hidden!K73)</f>
        <v/>
      </c>
    </row>
    <row r="77" spans="15:16" x14ac:dyDescent="0.35">
      <c r="O77" t="str">
        <f>IF(_xlfn.XLOOKUP(Hidden!J74,Hidden!$J$3:$J$103,Hidden!$M$3:$M$103)=0,"",_xlfn.XLOOKUP(Hidden!J74,Hidden!$J$3:$J$103,Hidden!$M$3:$M$103))</f>
        <v/>
      </c>
      <c r="P77" t="str">
        <f>IF(Hidden!K74=0,"",Hidden!K74)</f>
        <v/>
      </c>
    </row>
    <row r="78" spans="15:16" x14ac:dyDescent="0.35">
      <c r="O78" t="str">
        <f>IF(_xlfn.XLOOKUP(Hidden!J75,Hidden!$J$3:$J$103,Hidden!$M$3:$M$103)=0,"",_xlfn.XLOOKUP(Hidden!J75,Hidden!$J$3:$J$103,Hidden!$M$3:$M$103))</f>
        <v/>
      </c>
      <c r="P78" t="str">
        <f>IF(Hidden!K75=0,"",Hidden!K75)</f>
        <v/>
      </c>
    </row>
    <row r="79" spans="15:16" x14ac:dyDescent="0.35">
      <c r="O79" t="str">
        <f>IF(_xlfn.XLOOKUP(Hidden!J76,Hidden!$J$3:$J$103,Hidden!$M$3:$M$103)=0,"",_xlfn.XLOOKUP(Hidden!J76,Hidden!$J$3:$J$103,Hidden!$M$3:$M$103))</f>
        <v/>
      </c>
      <c r="P79" t="str">
        <f>IF(Hidden!K76=0,"",Hidden!K76)</f>
        <v/>
      </c>
    </row>
    <row r="80" spans="15:16" x14ac:dyDescent="0.35">
      <c r="O80" t="str">
        <f>IF(_xlfn.XLOOKUP(Hidden!J77,Hidden!$J$3:$J$103,Hidden!$M$3:$M$103)=0,"",_xlfn.XLOOKUP(Hidden!J77,Hidden!$J$3:$J$103,Hidden!$M$3:$M$103))</f>
        <v/>
      </c>
      <c r="P80" t="str">
        <f>IF(Hidden!K77=0,"",Hidden!K77)</f>
        <v/>
      </c>
    </row>
    <row r="81" spans="15:16" x14ac:dyDescent="0.35">
      <c r="O81" t="str">
        <f>IF(_xlfn.XLOOKUP(Hidden!J78,Hidden!$J$3:$J$103,Hidden!$M$3:$M$103)=0,"",_xlfn.XLOOKUP(Hidden!J78,Hidden!$J$3:$J$103,Hidden!$M$3:$M$103))</f>
        <v/>
      </c>
      <c r="P81" t="str">
        <f>IF(Hidden!K78=0,"",Hidden!K78)</f>
        <v/>
      </c>
    </row>
    <row r="82" spans="15:16" x14ac:dyDescent="0.35">
      <c r="O82" t="str">
        <f>IF(_xlfn.XLOOKUP(Hidden!J79,Hidden!$J$3:$J$103,Hidden!$M$3:$M$103)=0,"",_xlfn.XLOOKUP(Hidden!J79,Hidden!$J$3:$J$103,Hidden!$M$3:$M$103))</f>
        <v/>
      </c>
      <c r="P82" t="str">
        <f>IF(Hidden!K79=0,"",Hidden!K79)</f>
        <v/>
      </c>
    </row>
    <row r="83" spans="15:16" x14ac:dyDescent="0.35">
      <c r="O83" t="str">
        <f>IF(_xlfn.XLOOKUP(Hidden!J80,Hidden!$J$3:$J$103,Hidden!$M$3:$M$103)=0,"",_xlfn.XLOOKUP(Hidden!J80,Hidden!$J$3:$J$103,Hidden!$M$3:$M$103))</f>
        <v/>
      </c>
      <c r="P83" t="str">
        <f>IF(Hidden!K80=0,"",Hidden!K80)</f>
        <v/>
      </c>
    </row>
    <row r="84" spans="15:16" x14ac:dyDescent="0.35">
      <c r="O84" t="str">
        <f>IF(_xlfn.XLOOKUP(Hidden!J81,Hidden!$J$3:$J$103,Hidden!$M$3:$M$103)=0,"",_xlfn.XLOOKUP(Hidden!J81,Hidden!$J$3:$J$103,Hidden!$M$3:$M$103))</f>
        <v/>
      </c>
      <c r="P84" t="str">
        <f>IF(Hidden!K81=0,"",Hidden!K81)</f>
        <v/>
      </c>
    </row>
    <row r="85" spans="15:16" x14ac:dyDescent="0.35">
      <c r="O85" t="str">
        <f>IF(_xlfn.XLOOKUP(Hidden!J82,Hidden!$J$3:$J$103,Hidden!$M$3:$M$103)=0,"",_xlfn.XLOOKUP(Hidden!J82,Hidden!$J$3:$J$103,Hidden!$M$3:$M$103))</f>
        <v/>
      </c>
      <c r="P85" t="str">
        <f>IF(Hidden!K82=0,"",Hidden!K82)</f>
        <v/>
      </c>
    </row>
    <row r="86" spans="15:16" x14ac:dyDescent="0.35">
      <c r="O86" t="str">
        <f>IF(_xlfn.XLOOKUP(Hidden!J83,Hidden!$J$3:$J$103,Hidden!$M$3:$M$103)=0,"",_xlfn.XLOOKUP(Hidden!J83,Hidden!$J$3:$J$103,Hidden!$M$3:$M$103))</f>
        <v/>
      </c>
      <c r="P86" t="str">
        <f>IF(Hidden!K83=0,"",Hidden!K83)</f>
        <v/>
      </c>
    </row>
    <row r="87" spans="15:16" x14ac:dyDescent="0.35">
      <c r="O87" t="str">
        <f>IF(_xlfn.XLOOKUP(Hidden!J84,Hidden!$J$3:$J$103,Hidden!$M$3:$M$103)=0,"",_xlfn.XLOOKUP(Hidden!J84,Hidden!$J$3:$J$103,Hidden!$M$3:$M$103))</f>
        <v/>
      </c>
      <c r="P87" t="str">
        <f>IF(Hidden!K84=0,"",Hidden!K84)</f>
        <v/>
      </c>
    </row>
    <row r="88" spans="15:16" x14ac:dyDescent="0.35">
      <c r="O88" t="str">
        <f>IF(_xlfn.XLOOKUP(Hidden!J85,Hidden!$J$3:$J$103,Hidden!$M$3:$M$103)=0,"",_xlfn.XLOOKUP(Hidden!J85,Hidden!$J$3:$J$103,Hidden!$M$3:$M$103))</f>
        <v/>
      </c>
      <c r="P88" t="str">
        <f>IF(Hidden!K85=0,"",Hidden!K85)</f>
        <v/>
      </c>
    </row>
    <row r="89" spans="15:16" x14ac:dyDescent="0.35">
      <c r="O89" t="str">
        <f>IF(_xlfn.XLOOKUP(Hidden!J86,Hidden!$J$3:$J$103,Hidden!$M$3:$M$103)=0,"",_xlfn.XLOOKUP(Hidden!J86,Hidden!$J$3:$J$103,Hidden!$M$3:$M$103))</f>
        <v/>
      </c>
      <c r="P89" t="str">
        <f>IF(Hidden!K86=0,"",Hidden!K86)</f>
        <v/>
      </c>
    </row>
    <row r="90" spans="15:16" x14ac:dyDescent="0.35">
      <c r="O90" t="str">
        <f>IF(_xlfn.XLOOKUP(Hidden!J87,Hidden!$J$3:$J$103,Hidden!$M$3:$M$103)=0,"",_xlfn.XLOOKUP(Hidden!J87,Hidden!$J$3:$J$103,Hidden!$M$3:$M$103))</f>
        <v/>
      </c>
      <c r="P90" t="str">
        <f>IF(Hidden!K87=0,"",Hidden!K87)</f>
        <v/>
      </c>
    </row>
    <row r="91" spans="15:16" x14ac:dyDescent="0.35">
      <c r="O91" t="str">
        <f>IF(_xlfn.XLOOKUP(Hidden!J88,Hidden!$J$3:$J$103,Hidden!$M$3:$M$103)=0,"",_xlfn.XLOOKUP(Hidden!J88,Hidden!$J$3:$J$103,Hidden!$M$3:$M$103))</f>
        <v/>
      </c>
      <c r="P91" t="str">
        <f>IF(Hidden!K88=0,"",Hidden!K88)</f>
        <v/>
      </c>
    </row>
    <row r="92" spans="15:16" x14ac:dyDescent="0.35">
      <c r="O92" t="str">
        <f>IF(_xlfn.XLOOKUP(Hidden!J89,Hidden!$J$3:$J$103,Hidden!$M$3:$M$103)=0,"",_xlfn.XLOOKUP(Hidden!J89,Hidden!$J$3:$J$103,Hidden!$M$3:$M$103))</f>
        <v/>
      </c>
      <c r="P92" t="str">
        <f>IF(Hidden!K89=0,"",Hidden!K89)</f>
        <v/>
      </c>
    </row>
    <row r="93" spans="15:16" x14ac:dyDescent="0.35">
      <c r="O93" t="str">
        <f>IF(_xlfn.XLOOKUP(Hidden!J90,Hidden!$J$3:$J$103,Hidden!$M$3:$M$103)=0,"",_xlfn.XLOOKUP(Hidden!J90,Hidden!$J$3:$J$103,Hidden!$M$3:$M$103))</f>
        <v/>
      </c>
      <c r="P93" t="str">
        <f>IF(Hidden!K90=0,"",Hidden!K90)</f>
        <v/>
      </c>
    </row>
    <row r="94" spans="15:16" x14ac:dyDescent="0.35">
      <c r="O94" t="str">
        <f>IF(_xlfn.XLOOKUP(Hidden!J91,Hidden!$J$3:$J$103,Hidden!$M$3:$M$103)=0,"",_xlfn.XLOOKUP(Hidden!J91,Hidden!$J$3:$J$103,Hidden!$M$3:$M$103))</f>
        <v/>
      </c>
      <c r="P94" t="str">
        <f>IF(Hidden!K91=0,"",Hidden!K91)</f>
        <v/>
      </c>
    </row>
    <row r="95" spans="15:16" x14ac:dyDescent="0.35">
      <c r="O95" t="str">
        <f>IF(_xlfn.XLOOKUP(Hidden!J92,Hidden!$J$3:$J$103,Hidden!$M$3:$M$103)=0,"",_xlfn.XLOOKUP(Hidden!J92,Hidden!$J$3:$J$103,Hidden!$M$3:$M$103))</f>
        <v/>
      </c>
      <c r="P95" t="str">
        <f>IF(Hidden!K92=0,"",Hidden!K92)</f>
        <v/>
      </c>
    </row>
    <row r="96" spans="15:16" x14ac:dyDescent="0.35">
      <c r="O96" t="str">
        <f>IF(_xlfn.XLOOKUP(Hidden!J93,Hidden!$J$3:$J$103,Hidden!$M$3:$M$103)=0,"",_xlfn.XLOOKUP(Hidden!J93,Hidden!$J$3:$J$103,Hidden!$M$3:$M$103))</f>
        <v/>
      </c>
      <c r="P96" t="str">
        <f>IF(Hidden!K93=0,"",Hidden!K93)</f>
        <v/>
      </c>
    </row>
    <row r="97" spans="2:16" x14ac:dyDescent="0.35">
      <c r="O97" t="str">
        <f>IF(_xlfn.XLOOKUP(Hidden!J94,Hidden!$J$3:$J$103,Hidden!$M$3:$M$103)=0,"",_xlfn.XLOOKUP(Hidden!J94,Hidden!$J$3:$J$103,Hidden!$M$3:$M$103))</f>
        <v/>
      </c>
      <c r="P97" t="str">
        <f>IF(Hidden!K94=0,"",Hidden!K94)</f>
        <v/>
      </c>
    </row>
    <row r="98" spans="2:16" x14ac:dyDescent="0.35">
      <c r="O98" t="str">
        <f>IF(_xlfn.XLOOKUP(Hidden!J95,Hidden!$J$3:$J$103,Hidden!$M$3:$M$103)=0,"",_xlfn.XLOOKUP(Hidden!J95,Hidden!$J$3:$J$103,Hidden!$M$3:$M$103))</f>
        <v/>
      </c>
      <c r="P98" t="str">
        <f>IF(Hidden!K95=0,"",Hidden!K95)</f>
        <v/>
      </c>
    </row>
    <row r="99" spans="2:16" x14ac:dyDescent="0.35">
      <c r="O99" t="str">
        <f>IF(_xlfn.XLOOKUP(Hidden!J96,Hidden!$J$3:$J$103,Hidden!$M$3:$M$103)=0,"",_xlfn.XLOOKUP(Hidden!J96,Hidden!$J$3:$J$103,Hidden!$M$3:$M$103))</f>
        <v/>
      </c>
      <c r="P99" t="str">
        <f>IF(Hidden!K96=0,"",Hidden!K96)</f>
        <v/>
      </c>
    </row>
    <row r="100" spans="2:16" x14ac:dyDescent="0.35">
      <c r="O100" t="str">
        <f>IF(_xlfn.XLOOKUP(Hidden!J97,Hidden!$J$3:$J$103,Hidden!$M$3:$M$103)=0,"",_xlfn.XLOOKUP(Hidden!J97,Hidden!$J$3:$J$103,Hidden!$M$3:$M$103))</f>
        <v/>
      </c>
      <c r="P100" t="str">
        <f>IF(Hidden!K97=0,"",Hidden!K97)</f>
        <v/>
      </c>
    </row>
    <row r="101" spans="2:16" x14ac:dyDescent="0.35">
      <c r="O101" t="str">
        <f>IF(_xlfn.XLOOKUP(Hidden!J98,Hidden!$J$3:$J$103,Hidden!$M$3:$M$103)=0,"",_xlfn.XLOOKUP(Hidden!J98,Hidden!$J$3:$J$103,Hidden!$M$3:$M$103))</f>
        <v/>
      </c>
      <c r="P101" t="str">
        <f>IF(Hidden!K98=0,"",Hidden!K98)</f>
        <v/>
      </c>
    </row>
    <row r="102" spans="2:16" x14ac:dyDescent="0.35">
      <c r="O102" t="str">
        <f>IF(_xlfn.XLOOKUP(Hidden!J99,Hidden!$J$3:$J$103,Hidden!$M$3:$M$103)=0,"",_xlfn.XLOOKUP(Hidden!J99,Hidden!$J$3:$J$103,Hidden!$M$3:$M$103))</f>
        <v/>
      </c>
      <c r="P102" t="str">
        <f>IF(Hidden!K99=0,"",Hidden!K99)</f>
        <v/>
      </c>
    </row>
    <row r="103" spans="2:16" x14ac:dyDescent="0.35">
      <c r="O103" t="str">
        <f>IF(_xlfn.XLOOKUP(Hidden!J100,Hidden!$J$3:$J$103,Hidden!$M$3:$M$103)=0,"",_xlfn.XLOOKUP(Hidden!J100,Hidden!$J$3:$J$103,Hidden!$M$3:$M$103))</f>
        <v/>
      </c>
      <c r="P103" t="str">
        <f>IF(Hidden!K100=0,"",Hidden!K100)</f>
        <v/>
      </c>
    </row>
    <row r="106" spans="2:16" ht="15" thickBot="1" x14ac:dyDescent="0.4">
      <c r="B106" s="3"/>
      <c r="C106" s="3"/>
      <c r="D106" s="3"/>
      <c r="E106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ExportHiddenRangesToCSV">
                <anchor moveWithCells="1" sizeWithCells="1">
                  <from>
                    <xdr:col>9</xdr:col>
                    <xdr:colOff>12700</xdr:colOff>
                    <xdr:row>5</xdr:row>
                    <xdr:rowOff>38100</xdr:rowOff>
                  </from>
                  <to>
                    <xdr:col>13</xdr:col>
                    <xdr:colOff>6350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ImportAndTransposeCSV">
                <anchor moveWithCells="1" sizeWithCells="1">
                  <from>
                    <xdr:col>9</xdr:col>
                    <xdr:colOff>0</xdr:colOff>
                    <xdr:row>13</xdr:row>
                    <xdr:rowOff>12700</xdr:rowOff>
                  </from>
                  <to>
                    <xdr:col>13</xdr:col>
                    <xdr:colOff>6350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RunBatchFile">
                <anchor moveWithCells="1" sizeWithCells="1">
                  <from>
                    <xdr:col>9</xdr:col>
                    <xdr:colOff>0</xdr:colOff>
                    <xdr:row>9</xdr:row>
                    <xdr:rowOff>19050</xdr:rowOff>
                  </from>
                  <to>
                    <xdr:col>13</xdr:col>
                    <xdr:colOff>6350</xdr:colOff>
                    <xdr:row>12</xdr:row>
                    <xdr:rowOff>120650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43E0112-9B83-43DD-959C-CD9FB1E233D3}">
          <x14:formula1>
            <xm:f>Hidden!$B$3:$B$5</xm:f>
          </x14:formula1>
          <xm:sqref>D6:D106</xm:sqref>
        </x14:dataValidation>
        <x14:dataValidation type="list" allowBlank="1" showInputMessage="1" showErrorMessage="1" xr:uid="{7D2B0C59-E2DE-4768-98F9-A2FA2667E870}">
          <x14:formula1>
            <xm:f>Hidden!$B$9:$B$10</xm:f>
          </x14:formula1>
          <xm:sqref>H7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Hidden</vt:lpstr>
      <vt:lpstr>Executor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Lee</dc:creator>
  <cp:lastModifiedBy>Peter Lee</cp:lastModifiedBy>
  <dcterms:created xsi:type="dcterms:W3CDTF">2025-02-17T03:25:58Z</dcterms:created>
  <dcterms:modified xsi:type="dcterms:W3CDTF">2025-02-17T05:59:26Z</dcterms:modified>
</cp:coreProperties>
</file>